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4698c0d87b14b953/Desktop/neozeno/"/>
    </mc:Choice>
  </mc:AlternateContent>
  <xr:revisionPtr revIDLastSave="0" documentId="8_{A193CAB6-B7BF-467E-89E8-2152E35858D7}" xr6:coauthVersionLast="47" xr6:coauthVersionMax="47" xr10:uidLastSave="{00000000-0000-0000-0000-000000000000}"/>
  <bookViews>
    <workbookView xWindow="-108" yWindow="-108" windowWidth="23256" windowHeight="13176" xr2:uid="{F272424B-63A2-44D1-B69F-60B8867D9470}"/>
  </bookViews>
  <sheets>
    <sheet name="Formulas and analysis" sheetId="1" r:id="rId1"/>
    <sheet name="visuals" sheetId="8" r:id="rId2"/>
    <sheet name="Pivot Tables" sheetId="11" r:id="rId3"/>
    <sheet name="Dashboard" sheetId="13" r:id="rId4"/>
  </sheets>
  <definedNames>
    <definedName name="Slicer_Age">#N/A</definedName>
    <definedName name="Slicer_Experience_Years">#N/A</definedName>
    <definedName name="Slicer_Gende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1" i="1" l="1"/>
  <c r="L11" i="1"/>
  <c r="K11" i="1"/>
  <c r="M7" i="1"/>
  <c r="L7" i="1"/>
  <c r="K7" i="1"/>
  <c r="I15" i="1"/>
  <c r="I14" i="1"/>
  <c r="L3" i="1"/>
  <c r="K3" i="1"/>
  <c r="J3" i="1"/>
  <c r="I10" i="1"/>
  <c r="I7" i="1"/>
  <c r="I4" i="1"/>
  <c r="H7" i="1"/>
  <c r="H4" i="1"/>
  <c r="G10" i="1"/>
  <c r="G11" i="1"/>
  <c r="G12" i="1"/>
  <c r="G13" i="1"/>
  <c r="G14" i="1"/>
  <c r="G15" i="1"/>
  <c r="G16" i="1"/>
  <c r="G17" i="1"/>
  <c r="G18" i="1"/>
  <c r="G19" i="1"/>
  <c r="G20" i="1"/>
  <c r="G21" i="1"/>
  <c r="G22" i="1"/>
  <c r="G23" i="1"/>
  <c r="G24" i="1"/>
  <c r="G25" i="1"/>
  <c r="G26" i="1"/>
  <c r="G27" i="1"/>
  <c r="G28" i="1"/>
  <c r="G29" i="1"/>
  <c r="G30" i="1"/>
  <c r="G31" i="1"/>
  <c r="G32" i="1"/>
  <c r="G33" i="1"/>
  <c r="G34" i="1"/>
  <c r="G35" i="1"/>
  <c r="G36" i="1"/>
  <c r="G3" i="1"/>
  <c r="G4" i="1"/>
  <c r="G5" i="1"/>
  <c r="G6" i="1"/>
  <c r="G7" i="1"/>
  <c r="G8" i="1"/>
  <c r="G9" i="1"/>
  <c r="G2" i="1"/>
</calcChain>
</file>

<file path=xl/sharedStrings.xml><?xml version="1.0" encoding="utf-8"?>
<sst xmlns="http://schemas.openxmlformats.org/spreadsheetml/2006/main" count="109" uniqueCount="30">
  <si>
    <t>ID</t>
  </si>
  <si>
    <t>Experience_Years</t>
  </si>
  <si>
    <t>Age</t>
  </si>
  <si>
    <t>Gender</t>
  </si>
  <si>
    <t>Salary</t>
  </si>
  <si>
    <t>Female</t>
  </si>
  <si>
    <t>Male</t>
  </si>
  <si>
    <t>Row Labels</t>
  </si>
  <si>
    <t>Grand Total</t>
  </si>
  <si>
    <t>Sum of Salary by Experience</t>
  </si>
  <si>
    <t>Sum of Salary by Age</t>
  </si>
  <si>
    <t>IF  category wise salary "high,medium,low"</t>
  </si>
  <si>
    <t xml:space="preserve">COUNTIF   </t>
  </si>
  <si>
    <t>male employees</t>
  </si>
  <si>
    <t>Female employees</t>
  </si>
  <si>
    <t>Total salary</t>
  </si>
  <si>
    <t>SUM / SUMIF</t>
  </si>
  <si>
    <t xml:space="preserve"> sum of male salary</t>
  </si>
  <si>
    <t>Sum of female salary</t>
  </si>
  <si>
    <t>AVG age</t>
  </si>
  <si>
    <t>Avg salary</t>
  </si>
  <si>
    <t>Max Salary</t>
  </si>
  <si>
    <t>Min salary</t>
  </si>
  <si>
    <t>Vlookup--&gt;</t>
  </si>
  <si>
    <t>Max Age</t>
  </si>
  <si>
    <t>Min Age</t>
  </si>
  <si>
    <t>Avg experience</t>
  </si>
  <si>
    <t>Sum of Salary by Gender</t>
  </si>
  <si>
    <t>min Experience</t>
  </si>
  <si>
    <t>Max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</si>
</sst>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quot;$&quot;#,##0"/>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5" fontId="0" fillId="0" borderId="0" xfId="0" applyNumberFormat="1"/>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vertical="center"/>
    </xf>
    <xf numFmtId="0" fontId="1" fillId="33" borderId="0" xfId="7" applyFont="1" applyFill="1" applyAlignment="1">
      <alignment vertical="center"/>
    </xf>
    <xf numFmtId="0" fontId="1" fillId="33" borderId="0" xfId="7" applyFont="1" applyFill="1" applyAlignment="1"/>
    <xf numFmtId="0" fontId="1" fillId="33" borderId="0" xfId="7" applyFont="1" applyFill="1"/>
    <xf numFmtId="166"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1" defaultTableStyle="TableStyleMedium2" defaultPivotStyle="PivotStyleLight16">
    <tableStyle name="Invisible" pivot="0" table="0" count="0" xr9:uid="{974BF2BA-A83C-42B5-B7B5-3C59D3AD98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Salary</a:t>
            </a:r>
            <a:r>
              <a:rPr lang="en-US" b="1" baseline="0"/>
              <a:t> based on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visuals!$E$1</c:f>
              <c:strCache>
                <c:ptCount val="1"/>
                <c:pt idx="0">
                  <c:v>Salary</c:v>
                </c:pt>
              </c:strCache>
            </c:strRef>
          </c:tx>
          <c:spPr>
            <a:solidFill>
              <a:schemeClr val="accent1"/>
            </a:solidFill>
            <a:ln>
              <a:noFill/>
            </a:ln>
            <a:effectLst/>
          </c:spPr>
          <c:invertIfNegative val="0"/>
          <c:cat>
            <c:strRef>
              <c:f>visuals!$D$2:$D$36</c:f>
              <c:strCache>
                <c:ptCount val="35"/>
                <c:pt idx="0">
                  <c:v>Female</c:v>
                </c:pt>
                <c:pt idx="1">
                  <c:v>Male</c:v>
                </c:pt>
                <c:pt idx="2">
                  <c:v>Female</c:v>
                </c:pt>
                <c:pt idx="3">
                  <c:v>Male</c:v>
                </c:pt>
                <c:pt idx="4">
                  <c:v>Male</c:v>
                </c:pt>
                <c:pt idx="5">
                  <c:v>Male</c:v>
                </c:pt>
                <c:pt idx="6">
                  <c:v>Female</c:v>
                </c:pt>
                <c:pt idx="7">
                  <c:v>Female</c:v>
                </c:pt>
                <c:pt idx="8">
                  <c:v>Female</c:v>
                </c:pt>
                <c:pt idx="9">
                  <c:v>Female</c:v>
                </c:pt>
                <c:pt idx="10">
                  <c:v>Female</c:v>
                </c:pt>
                <c:pt idx="11">
                  <c:v>Male</c:v>
                </c:pt>
                <c:pt idx="12">
                  <c:v>Male</c:v>
                </c:pt>
                <c:pt idx="13">
                  <c:v>Male</c:v>
                </c:pt>
                <c:pt idx="14">
                  <c:v>Male</c:v>
                </c:pt>
                <c:pt idx="15">
                  <c:v>Female</c:v>
                </c:pt>
                <c:pt idx="16">
                  <c:v>Female</c:v>
                </c:pt>
                <c:pt idx="17">
                  <c:v>Female</c:v>
                </c:pt>
                <c:pt idx="18">
                  <c:v>Male</c:v>
                </c:pt>
                <c:pt idx="19">
                  <c:v>Male</c:v>
                </c:pt>
                <c:pt idx="20">
                  <c:v>Male</c:v>
                </c:pt>
                <c:pt idx="21">
                  <c:v>Male</c:v>
                </c:pt>
                <c:pt idx="22">
                  <c:v>Male</c:v>
                </c:pt>
                <c:pt idx="23">
                  <c:v>Female</c:v>
                </c:pt>
                <c:pt idx="24">
                  <c:v>Female</c:v>
                </c:pt>
                <c:pt idx="25">
                  <c:v>Female</c:v>
                </c:pt>
                <c:pt idx="26">
                  <c:v>Male</c:v>
                </c:pt>
                <c:pt idx="27">
                  <c:v>Female</c:v>
                </c:pt>
                <c:pt idx="28">
                  <c:v>Female</c:v>
                </c:pt>
                <c:pt idx="29">
                  <c:v>Female</c:v>
                </c:pt>
                <c:pt idx="30">
                  <c:v>Male</c:v>
                </c:pt>
                <c:pt idx="31">
                  <c:v>Male</c:v>
                </c:pt>
                <c:pt idx="32">
                  <c:v>Female</c:v>
                </c:pt>
                <c:pt idx="33">
                  <c:v>Female</c:v>
                </c:pt>
                <c:pt idx="34">
                  <c:v>Male</c:v>
                </c:pt>
              </c:strCache>
            </c:strRef>
          </c:cat>
          <c:val>
            <c:numRef>
              <c:f>visuals!$E$2:$E$36</c:f>
              <c:numCache>
                <c:formatCode>"$"#,##0</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extLst>
            <c:ext xmlns:c16="http://schemas.microsoft.com/office/drawing/2014/chart" uri="{C3380CC4-5D6E-409C-BE32-E72D297353CC}">
              <c16:uniqueId val="{00000000-CCE4-425E-BEF1-9B369E2E5B03}"/>
            </c:ext>
          </c:extLst>
        </c:ser>
        <c:dLbls>
          <c:showLegendKey val="0"/>
          <c:showVal val="0"/>
          <c:showCatName val="0"/>
          <c:showSerName val="0"/>
          <c:showPercent val="0"/>
          <c:showBubbleSize val="0"/>
        </c:dLbls>
        <c:gapWidth val="219"/>
        <c:overlap val="-27"/>
        <c:axId val="601406752"/>
        <c:axId val="601408192"/>
      </c:barChart>
      <c:catAx>
        <c:axId val="6014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08192"/>
        <c:crosses val="autoZero"/>
        <c:auto val="1"/>
        <c:lblAlgn val="ctr"/>
        <c:lblOffset val="100"/>
        <c:noMultiLvlLbl val="0"/>
      </c:catAx>
      <c:valAx>
        <c:axId val="6014081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0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Salary Based On Age</a:t>
            </a:r>
          </a:p>
        </c:rich>
      </c:tx>
      <c:layout>
        <c:manualLayout>
          <c:xMode val="edge"/>
          <c:yMode val="edge"/>
          <c:x val="0.3692915573053368"/>
          <c:y val="3.24074074074074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21605357047240145"/>
          <c:y val="7.8900727679961549E-2"/>
          <c:w val="0.55466037347442387"/>
          <c:h val="0.84371180698833026"/>
        </c:manualLayout>
      </c:layout>
      <c:pieChart>
        <c:varyColors val="1"/>
        <c:ser>
          <c:idx val="0"/>
          <c:order val="0"/>
          <c:tx>
            <c:strRef>
              <c:f>visuals!$E$1</c:f>
              <c:strCache>
                <c:ptCount val="1"/>
                <c:pt idx="0">
                  <c:v>Salary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241-4347-B27C-AB006D1911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241-4347-B27C-AB006D1911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241-4347-B27C-AB006D1911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241-4347-B27C-AB006D1911B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241-4347-B27C-AB006D1911B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241-4347-B27C-AB006D1911B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241-4347-B27C-AB006D1911B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241-4347-B27C-AB006D1911B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B241-4347-B27C-AB006D1911B3}"/>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B241-4347-B27C-AB006D1911B3}"/>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B241-4347-B27C-AB006D1911B3}"/>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B241-4347-B27C-AB006D1911B3}"/>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9-B241-4347-B27C-AB006D1911B3}"/>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B-B241-4347-B27C-AB006D1911B3}"/>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D-B241-4347-B27C-AB006D1911B3}"/>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F-B241-4347-B27C-AB006D1911B3}"/>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1-B241-4347-B27C-AB006D1911B3}"/>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3-B241-4347-B27C-AB006D1911B3}"/>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5-B241-4347-B27C-AB006D1911B3}"/>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7-B241-4347-B27C-AB006D1911B3}"/>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9-B241-4347-B27C-AB006D1911B3}"/>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B-B241-4347-B27C-AB006D1911B3}"/>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D-B241-4347-B27C-AB006D1911B3}"/>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F-B241-4347-B27C-AB006D1911B3}"/>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1-B241-4347-B27C-AB006D1911B3}"/>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3-B241-4347-B27C-AB006D1911B3}"/>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5-B241-4347-B27C-AB006D1911B3}"/>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7-B241-4347-B27C-AB006D1911B3}"/>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9-B241-4347-B27C-AB006D1911B3}"/>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B-B241-4347-B27C-AB006D1911B3}"/>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3D-B241-4347-B27C-AB006D1911B3}"/>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3F-B241-4347-B27C-AB006D1911B3}"/>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41-B241-4347-B27C-AB006D1911B3}"/>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43-B241-4347-B27C-AB006D1911B3}"/>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extLst>
              <c:ext xmlns:c16="http://schemas.microsoft.com/office/drawing/2014/chart" uri="{C3380CC4-5D6E-409C-BE32-E72D297353CC}">
                <c16:uniqueId val="{00000045-B241-4347-B27C-AB006D1911B3}"/>
              </c:ext>
            </c:extLst>
          </c:dPt>
          <c:cat>
            <c:strRef>
              <c:extLst>
                <c:ext xmlns:c15="http://schemas.microsoft.com/office/drawing/2012/chart" uri="{02D57815-91ED-43cb-92C2-25804820EDAC}">
                  <c15:fullRef>
                    <c15:sqref>visuals!$A$2:$D$36</c15:sqref>
                  </c15:fullRef>
                  <c15:levelRef>
                    <c15:sqref>visuals!$C$2:$C$36</c15:sqref>
                  </c15:levelRef>
                </c:ext>
              </c:extLst>
              <c:f>visuals!$C$2:$C$36</c:f>
              <c:strCache>
                <c:ptCount val="35"/>
                <c:pt idx="0">
                  <c:v>28</c:v>
                </c:pt>
                <c:pt idx="1">
                  <c:v>21</c:v>
                </c:pt>
                <c:pt idx="2">
                  <c:v>23</c:v>
                </c:pt>
                <c:pt idx="3">
                  <c:v>22</c:v>
                </c:pt>
                <c:pt idx="4">
                  <c:v>17</c:v>
                </c:pt>
                <c:pt idx="5">
                  <c:v>62</c:v>
                </c:pt>
                <c:pt idx="6">
                  <c:v>54</c:v>
                </c:pt>
                <c:pt idx="7">
                  <c:v>21</c:v>
                </c:pt>
                <c:pt idx="8">
                  <c:v>36</c:v>
                </c:pt>
                <c:pt idx="9">
                  <c:v>54</c:v>
                </c:pt>
                <c:pt idx="10">
                  <c:v>26</c:v>
                </c:pt>
                <c:pt idx="11">
                  <c:v>29</c:v>
                </c:pt>
                <c:pt idx="12">
                  <c:v>39</c:v>
                </c:pt>
                <c:pt idx="13">
                  <c:v>40</c:v>
                </c:pt>
                <c:pt idx="14">
                  <c:v>23</c:v>
                </c:pt>
                <c:pt idx="15">
                  <c:v>27</c:v>
                </c:pt>
                <c:pt idx="16">
                  <c:v>34</c:v>
                </c:pt>
                <c:pt idx="17">
                  <c:v>54</c:v>
                </c:pt>
                <c:pt idx="18">
                  <c:v>21</c:v>
                </c:pt>
                <c:pt idx="19">
                  <c:v>36</c:v>
                </c:pt>
                <c:pt idx="20">
                  <c:v>54</c:v>
                </c:pt>
                <c:pt idx="21">
                  <c:v>26</c:v>
                </c:pt>
                <c:pt idx="22">
                  <c:v>29</c:v>
                </c:pt>
                <c:pt idx="23">
                  <c:v>21</c:v>
                </c:pt>
                <c:pt idx="24">
                  <c:v>23</c:v>
                </c:pt>
                <c:pt idx="25">
                  <c:v>22</c:v>
                </c:pt>
                <c:pt idx="26">
                  <c:v>18</c:v>
                </c:pt>
                <c:pt idx="27">
                  <c:v>62</c:v>
                </c:pt>
                <c:pt idx="28">
                  <c:v>54</c:v>
                </c:pt>
                <c:pt idx="29">
                  <c:v>21</c:v>
                </c:pt>
                <c:pt idx="30">
                  <c:v>34</c:v>
                </c:pt>
                <c:pt idx="31">
                  <c:v>54</c:v>
                </c:pt>
                <c:pt idx="32">
                  <c:v>55</c:v>
                </c:pt>
                <c:pt idx="33">
                  <c:v>53</c:v>
                </c:pt>
                <c:pt idx="34">
                  <c:v>49</c:v>
                </c:pt>
              </c:strCache>
            </c:strRef>
          </c:cat>
          <c:val>
            <c:numRef>
              <c:f>visuals!$E$2:$E$36</c:f>
              <c:numCache>
                <c:formatCode>"$"#,##0</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extLst>
            <c:ext xmlns:c16="http://schemas.microsoft.com/office/drawing/2014/chart" uri="{C3380CC4-5D6E-409C-BE32-E72D297353CC}">
              <c16:uniqueId val="{00000000-13D9-4932-A97C-3FAD3CC1F5D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Salary Based On Experience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1399516399032798"/>
          <c:y val="0.1532995793798021"/>
          <c:w val="0.83640647281294567"/>
          <c:h val="0.72888923196005329"/>
        </c:manualLayout>
      </c:layout>
      <c:lineChart>
        <c:grouping val="standard"/>
        <c:varyColors val="0"/>
        <c:ser>
          <c:idx val="0"/>
          <c:order val="0"/>
          <c:tx>
            <c:strRef>
              <c:f>visuals!$E$1</c:f>
              <c:strCache>
                <c:ptCount val="1"/>
                <c:pt idx="0">
                  <c:v>Salary</c:v>
                </c:pt>
              </c:strCache>
            </c:strRef>
          </c:tx>
          <c:spPr>
            <a:ln w="38100" cap="rnd">
              <a:solidFill>
                <a:schemeClr val="accent1"/>
              </a:solidFill>
              <a:round/>
            </a:ln>
            <a:effectLst/>
          </c:spPr>
          <c:marker>
            <c:symbol val="none"/>
          </c:marker>
          <c:cat>
            <c:strRef>
              <c:extLst>
                <c:ext xmlns:c15="http://schemas.microsoft.com/office/drawing/2012/chart" uri="{02D57815-91ED-43cb-92C2-25804820EDAC}">
                  <c15:fullRef>
                    <c15:sqref>visuals!$A$2:$D$36</c15:sqref>
                  </c15:fullRef>
                  <c15:levelRef>
                    <c15:sqref>visuals!$B$2:$B$36</c15:sqref>
                  </c15:levelRef>
                </c:ext>
              </c:extLst>
              <c:f>visuals!$B$2:$B$36</c:f>
              <c:strCache>
                <c:ptCount val="35"/>
                <c:pt idx="0">
                  <c:v>5</c:v>
                </c:pt>
                <c:pt idx="1">
                  <c:v>1</c:v>
                </c:pt>
                <c:pt idx="2">
                  <c:v>3</c:v>
                </c:pt>
                <c:pt idx="3">
                  <c:v>2</c:v>
                </c:pt>
                <c:pt idx="4">
                  <c:v>1</c:v>
                </c:pt>
                <c:pt idx="5">
                  <c:v>25</c:v>
                </c:pt>
                <c:pt idx="6">
                  <c:v>19</c:v>
                </c:pt>
                <c:pt idx="7">
                  <c:v>2</c:v>
                </c:pt>
                <c:pt idx="8">
                  <c:v>10</c:v>
                </c:pt>
                <c:pt idx="9">
                  <c:v>15</c:v>
                </c:pt>
                <c:pt idx="10">
                  <c:v>4</c:v>
                </c:pt>
                <c:pt idx="11">
                  <c:v>6</c:v>
                </c:pt>
                <c:pt idx="12">
                  <c:v>14</c:v>
                </c:pt>
                <c:pt idx="13">
                  <c:v>11</c:v>
                </c:pt>
                <c:pt idx="14">
                  <c:v>2</c:v>
                </c:pt>
                <c:pt idx="15">
                  <c:v>4</c:v>
                </c:pt>
                <c:pt idx="16">
                  <c:v>10</c:v>
                </c:pt>
                <c:pt idx="17">
                  <c:v>15</c:v>
                </c:pt>
                <c:pt idx="18">
                  <c:v>2</c:v>
                </c:pt>
                <c:pt idx="19">
                  <c:v>10</c:v>
                </c:pt>
                <c:pt idx="20">
                  <c:v>15</c:v>
                </c:pt>
                <c:pt idx="21">
                  <c:v>4</c:v>
                </c:pt>
                <c:pt idx="22">
                  <c:v>5</c:v>
                </c:pt>
                <c:pt idx="23">
                  <c:v>1</c:v>
                </c:pt>
                <c:pt idx="24">
                  <c:v>4</c:v>
                </c:pt>
                <c:pt idx="25">
                  <c:v>3</c:v>
                </c:pt>
                <c:pt idx="26">
                  <c:v>1</c:v>
                </c:pt>
                <c:pt idx="27">
                  <c:v>27</c:v>
                </c:pt>
                <c:pt idx="28">
                  <c:v>19</c:v>
                </c:pt>
                <c:pt idx="29">
                  <c:v>2</c:v>
                </c:pt>
                <c:pt idx="30">
                  <c:v>10</c:v>
                </c:pt>
                <c:pt idx="31">
                  <c:v>15</c:v>
                </c:pt>
                <c:pt idx="32">
                  <c:v>20</c:v>
                </c:pt>
                <c:pt idx="33">
                  <c:v>19</c:v>
                </c:pt>
                <c:pt idx="34">
                  <c:v>16</c:v>
                </c:pt>
              </c:strCache>
            </c:strRef>
          </c:cat>
          <c:val>
            <c:numRef>
              <c:f>visuals!$E$2:$E$36</c:f>
              <c:numCache>
                <c:formatCode>"$"#,##0</c:formatCode>
                <c:ptCount val="35"/>
                <c:pt idx="0">
                  <c:v>250000</c:v>
                </c:pt>
                <c:pt idx="1">
                  <c:v>50000</c:v>
                </c:pt>
                <c:pt idx="2">
                  <c:v>170000</c:v>
                </c:pt>
                <c:pt idx="3">
                  <c:v>25000</c:v>
                </c:pt>
                <c:pt idx="4">
                  <c:v>10000</c:v>
                </c:pt>
                <c:pt idx="5">
                  <c:v>5001000</c:v>
                </c:pt>
                <c:pt idx="6">
                  <c:v>800000</c:v>
                </c:pt>
                <c:pt idx="7">
                  <c:v>9000</c:v>
                </c:pt>
                <c:pt idx="8">
                  <c:v>61500</c:v>
                </c:pt>
                <c:pt idx="9">
                  <c:v>650000</c:v>
                </c:pt>
                <c:pt idx="10">
                  <c:v>250000</c:v>
                </c:pt>
                <c:pt idx="11">
                  <c:v>1400000</c:v>
                </c:pt>
                <c:pt idx="12">
                  <c:v>6000050</c:v>
                </c:pt>
                <c:pt idx="13">
                  <c:v>220100</c:v>
                </c:pt>
                <c:pt idx="14">
                  <c:v>7500</c:v>
                </c:pt>
                <c:pt idx="15">
                  <c:v>87000</c:v>
                </c:pt>
                <c:pt idx="16">
                  <c:v>930000</c:v>
                </c:pt>
                <c:pt idx="17">
                  <c:v>7900000</c:v>
                </c:pt>
                <c:pt idx="18">
                  <c:v>15000</c:v>
                </c:pt>
                <c:pt idx="19">
                  <c:v>330000</c:v>
                </c:pt>
                <c:pt idx="20">
                  <c:v>6570000</c:v>
                </c:pt>
                <c:pt idx="21">
                  <c:v>25000</c:v>
                </c:pt>
                <c:pt idx="22">
                  <c:v>6845000</c:v>
                </c:pt>
                <c:pt idx="23">
                  <c:v>6000</c:v>
                </c:pt>
                <c:pt idx="24">
                  <c:v>8900</c:v>
                </c:pt>
                <c:pt idx="25">
                  <c:v>20000</c:v>
                </c:pt>
                <c:pt idx="26">
                  <c:v>3000</c:v>
                </c:pt>
                <c:pt idx="27">
                  <c:v>10000000</c:v>
                </c:pt>
                <c:pt idx="28">
                  <c:v>5000000</c:v>
                </c:pt>
                <c:pt idx="29">
                  <c:v>6100</c:v>
                </c:pt>
                <c:pt idx="30">
                  <c:v>80000</c:v>
                </c:pt>
                <c:pt idx="31">
                  <c:v>900000</c:v>
                </c:pt>
                <c:pt idx="32">
                  <c:v>1540000</c:v>
                </c:pt>
                <c:pt idx="33">
                  <c:v>9300000</c:v>
                </c:pt>
                <c:pt idx="34">
                  <c:v>7600000</c:v>
                </c:pt>
              </c:numCache>
            </c:numRef>
          </c:val>
          <c:smooth val="0"/>
          <c:extLst>
            <c:ext xmlns:c16="http://schemas.microsoft.com/office/drawing/2014/chart" uri="{C3380CC4-5D6E-409C-BE32-E72D297353CC}">
              <c16:uniqueId val="{00000000-0111-4F4E-BC67-70388D008D6B}"/>
            </c:ext>
          </c:extLst>
        </c:ser>
        <c:dLbls>
          <c:showLegendKey val="0"/>
          <c:showVal val="0"/>
          <c:showCatName val="0"/>
          <c:showSerName val="0"/>
          <c:showPercent val="0"/>
          <c:showBubbleSize val="0"/>
        </c:dLbls>
        <c:smooth val="0"/>
        <c:axId val="504210024"/>
        <c:axId val="504211464"/>
      </c:lineChart>
      <c:catAx>
        <c:axId val="504210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504211464"/>
        <c:crosses val="autoZero"/>
        <c:auto val="1"/>
        <c:lblAlgn val="ctr"/>
        <c:lblOffset val="100"/>
        <c:noMultiLvlLbl val="0"/>
      </c:catAx>
      <c:valAx>
        <c:axId val="5042114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210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Tables!PivotTable1</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7559055118111"/>
          <c:y val="0.26791447944006996"/>
          <c:w val="0.68531692913385822"/>
          <c:h val="0.53774387576552929"/>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Tables'!$A$4:$A$19</c:f>
              <c:strCache>
                <c:ptCount val="15"/>
                <c:pt idx="0">
                  <c:v>2</c:v>
                </c:pt>
                <c:pt idx="1">
                  <c:v>1</c:v>
                </c:pt>
                <c:pt idx="2">
                  <c:v>3</c:v>
                </c:pt>
                <c:pt idx="3">
                  <c:v>11</c:v>
                </c:pt>
                <c:pt idx="4">
                  <c:v>4</c:v>
                </c:pt>
                <c:pt idx="5">
                  <c:v>6</c:v>
                </c:pt>
                <c:pt idx="6">
                  <c:v>10</c:v>
                </c:pt>
                <c:pt idx="7">
                  <c:v>20</c:v>
                </c:pt>
                <c:pt idx="8">
                  <c:v>25</c:v>
                </c:pt>
                <c:pt idx="9">
                  <c:v>14</c:v>
                </c:pt>
                <c:pt idx="10">
                  <c:v>5</c:v>
                </c:pt>
                <c:pt idx="11">
                  <c:v>16</c:v>
                </c:pt>
                <c:pt idx="12">
                  <c:v>27</c:v>
                </c:pt>
                <c:pt idx="13">
                  <c:v>19</c:v>
                </c:pt>
                <c:pt idx="14">
                  <c:v>15</c:v>
                </c:pt>
              </c:strCache>
            </c:strRef>
          </c:cat>
          <c:val>
            <c:numRef>
              <c:f>'Pivot Tables'!$B$4:$B$19</c:f>
              <c:numCache>
                <c:formatCode>"$"#,##0</c:formatCode>
                <c:ptCount val="15"/>
                <c:pt idx="0">
                  <c:v>62600</c:v>
                </c:pt>
                <c:pt idx="1">
                  <c:v>69000</c:v>
                </c:pt>
                <c:pt idx="2">
                  <c:v>190000</c:v>
                </c:pt>
                <c:pt idx="3">
                  <c:v>220100</c:v>
                </c:pt>
                <c:pt idx="4">
                  <c:v>370900</c:v>
                </c:pt>
                <c:pt idx="5">
                  <c:v>1400000</c:v>
                </c:pt>
                <c:pt idx="6">
                  <c:v>1401500</c:v>
                </c:pt>
                <c:pt idx="7">
                  <c:v>1540000</c:v>
                </c:pt>
                <c:pt idx="8">
                  <c:v>5001000</c:v>
                </c:pt>
                <c:pt idx="9">
                  <c:v>6000050</c:v>
                </c:pt>
                <c:pt idx="10">
                  <c:v>7095000</c:v>
                </c:pt>
                <c:pt idx="11">
                  <c:v>7600000</c:v>
                </c:pt>
                <c:pt idx="12">
                  <c:v>10000000</c:v>
                </c:pt>
                <c:pt idx="13">
                  <c:v>15100000</c:v>
                </c:pt>
                <c:pt idx="14">
                  <c:v>16020000</c:v>
                </c:pt>
              </c:numCache>
            </c:numRef>
          </c:val>
          <c:extLst>
            <c:ext xmlns:c16="http://schemas.microsoft.com/office/drawing/2014/chart" uri="{C3380CC4-5D6E-409C-BE32-E72D297353CC}">
              <c16:uniqueId val="{00000000-F946-4914-9218-323BC54FEBB9}"/>
            </c:ext>
          </c:extLst>
        </c:ser>
        <c:dLbls>
          <c:showLegendKey val="0"/>
          <c:showVal val="0"/>
          <c:showCatName val="0"/>
          <c:showSerName val="0"/>
          <c:showPercent val="0"/>
          <c:showBubbleSize val="0"/>
        </c:dLbls>
        <c:gapWidth val="100"/>
        <c:overlap val="-24"/>
        <c:axId val="413342160"/>
        <c:axId val="413346480"/>
      </c:barChart>
      <c:catAx>
        <c:axId val="413342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6480"/>
        <c:crosses val="autoZero"/>
        <c:auto val="1"/>
        <c:lblAlgn val="ctr"/>
        <c:lblOffset val="100"/>
        <c:noMultiLvlLbl val="0"/>
      </c:catAx>
      <c:valAx>
        <c:axId val="413346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Tables'!$A$34:$A$52</c:f>
              <c:strCache>
                <c:ptCount val="18"/>
                <c:pt idx="0">
                  <c:v>18</c:v>
                </c:pt>
                <c:pt idx="1">
                  <c:v>17</c:v>
                </c:pt>
                <c:pt idx="2">
                  <c:v>22</c:v>
                </c:pt>
                <c:pt idx="3">
                  <c:v>21</c:v>
                </c:pt>
                <c:pt idx="4">
                  <c:v>27</c:v>
                </c:pt>
                <c:pt idx="5">
                  <c:v>23</c:v>
                </c:pt>
                <c:pt idx="6">
                  <c:v>40</c:v>
                </c:pt>
                <c:pt idx="7">
                  <c:v>28</c:v>
                </c:pt>
                <c:pt idx="8">
                  <c:v>26</c:v>
                </c:pt>
                <c:pt idx="9">
                  <c:v>36</c:v>
                </c:pt>
                <c:pt idx="10">
                  <c:v>34</c:v>
                </c:pt>
                <c:pt idx="11">
                  <c:v>55</c:v>
                </c:pt>
                <c:pt idx="12">
                  <c:v>39</c:v>
                </c:pt>
                <c:pt idx="13">
                  <c:v>49</c:v>
                </c:pt>
                <c:pt idx="14">
                  <c:v>29</c:v>
                </c:pt>
                <c:pt idx="15">
                  <c:v>53</c:v>
                </c:pt>
                <c:pt idx="16">
                  <c:v>62</c:v>
                </c:pt>
                <c:pt idx="17">
                  <c:v>54</c:v>
                </c:pt>
              </c:strCache>
            </c:strRef>
          </c:cat>
          <c:val>
            <c:numRef>
              <c:f>'Pivot Tables'!$B$34:$B$52</c:f>
              <c:numCache>
                <c:formatCode>"$"#,##0</c:formatCode>
                <c:ptCount val="18"/>
                <c:pt idx="0">
                  <c:v>3000</c:v>
                </c:pt>
                <c:pt idx="1">
                  <c:v>10000</c:v>
                </c:pt>
                <c:pt idx="2">
                  <c:v>45000</c:v>
                </c:pt>
                <c:pt idx="3">
                  <c:v>86100</c:v>
                </c:pt>
                <c:pt idx="4">
                  <c:v>87000</c:v>
                </c:pt>
                <c:pt idx="5">
                  <c:v>186400</c:v>
                </c:pt>
                <c:pt idx="6">
                  <c:v>220100</c:v>
                </c:pt>
                <c:pt idx="7">
                  <c:v>250000</c:v>
                </c:pt>
                <c:pt idx="8">
                  <c:v>275000</c:v>
                </c:pt>
                <c:pt idx="9">
                  <c:v>391500</c:v>
                </c:pt>
                <c:pt idx="10">
                  <c:v>1010000</c:v>
                </c:pt>
                <c:pt idx="11">
                  <c:v>1540000</c:v>
                </c:pt>
                <c:pt idx="12">
                  <c:v>6000050</c:v>
                </c:pt>
                <c:pt idx="13">
                  <c:v>7600000</c:v>
                </c:pt>
                <c:pt idx="14">
                  <c:v>8245000</c:v>
                </c:pt>
                <c:pt idx="15">
                  <c:v>9300000</c:v>
                </c:pt>
                <c:pt idx="16">
                  <c:v>15001000</c:v>
                </c:pt>
                <c:pt idx="17">
                  <c:v>21820000</c:v>
                </c:pt>
              </c:numCache>
            </c:numRef>
          </c:val>
          <c:smooth val="0"/>
          <c:extLst>
            <c:ext xmlns:c16="http://schemas.microsoft.com/office/drawing/2014/chart" uri="{C3380CC4-5D6E-409C-BE32-E72D297353CC}">
              <c16:uniqueId val="{00000000-BEF8-4F33-8C24-44B343787DE9}"/>
            </c:ext>
          </c:extLst>
        </c:ser>
        <c:dLbls>
          <c:showLegendKey val="0"/>
          <c:showVal val="0"/>
          <c:showCatName val="0"/>
          <c:showSerName val="0"/>
          <c:showPercent val="0"/>
          <c:showBubbleSize val="0"/>
        </c:dLbls>
        <c:marker val="1"/>
        <c:smooth val="0"/>
        <c:axId val="510825432"/>
        <c:axId val="510824352"/>
      </c:lineChart>
      <c:catAx>
        <c:axId val="510825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4352"/>
        <c:crosses val="autoZero"/>
        <c:auto val="1"/>
        <c:lblAlgn val="ctr"/>
        <c:lblOffset val="100"/>
        <c:noMultiLvlLbl val="0"/>
      </c:catAx>
      <c:valAx>
        <c:axId val="51082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5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Tables!PivotTable3</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Tables'!$O$15</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A7-4C6D-BADD-E71DAB10A614}"/>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1A7-4C6D-BADD-E71DAB10A614}"/>
              </c:ext>
            </c:extLst>
          </c:dPt>
          <c:cat>
            <c:strRef>
              <c:f>'Pivot Tables'!$N$16:$N$18</c:f>
              <c:strCache>
                <c:ptCount val="2"/>
                <c:pt idx="0">
                  <c:v>Female</c:v>
                </c:pt>
                <c:pt idx="1">
                  <c:v>Male</c:v>
                </c:pt>
              </c:strCache>
            </c:strRef>
          </c:cat>
          <c:val>
            <c:numRef>
              <c:f>'Pivot Tables'!$O$16:$O$18</c:f>
              <c:numCache>
                <c:formatCode>"$"#,##0</c:formatCode>
                <c:ptCount val="2"/>
                <c:pt idx="0">
                  <c:v>36988500</c:v>
                </c:pt>
                <c:pt idx="1">
                  <c:v>35081650</c:v>
                </c:pt>
              </c:numCache>
            </c:numRef>
          </c:val>
          <c:extLst>
            <c:ext xmlns:c16="http://schemas.microsoft.com/office/drawing/2014/chart" uri="{C3380CC4-5D6E-409C-BE32-E72D297353CC}">
              <c16:uniqueId val="{00000000-6192-4ABE-8228-006D97F1F1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Tables!PivotTable1</c:name>
    <c:fmtId val="1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27559055118111"/>
          <c:y val="0.26791447944006996"/>
          <c:w val="0.68531692913385822"/>
          <c:h val="0.53774387576552929"/>
        </c:manualLayout>
      </c:layout>
      <c:barChart>
        <c:barDir val="col"/>
        <c:grouping val="clustered"/>
        <c:varyColors val="0"/>
        <c:ser>
          <c:idx val="0"/>
          <c:order val="0"/>
          <c:tx>
            <c:strRef>
              <c:f>'Pivot Tables'!$B$3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Tables'!$A$4:$A$19</c:f>
              <c:strCache>
                <c:ptCount val="15"/>
                <c:pt idx="0">
                  <c:v>2</c:v>
                </c:pt>
                <c:pt idx="1">
                  <c:v>1</c:v>
                </c:pt>
                <c:pt idx="2">
                  <c:v>3</c:v>
                </c:pt>
                <c:pt idx="3">
                  <c:v>11</c:v>
                </c:pt>
                <c:pt idx="4">
                  <c:v>4</c:v>
                </c:pt>
                <c:pt idx="5">
                  <c:v>6</c:v>
                </c:pt>
                <c:pt idx="6">
                  <c:v>10</c:v>
                </c:pt>
                <c:pt idx="7">
                  <c:v>20</c:v>
                </c:pt>
                <c:pt idx="8">
                  <c:v>25</c:v>
                </c:pt>
                <c:pt idx="9">
                  <c:v>14</c:v>
                </c:pt>
                <c:pt idx="10">
                  <c:v>5</c:v>
                </c:pt>
                <c:pt idx="11">
                  <c:v>16</c:v>
                </c:pt>
                <c:pt idx="12">
                  <c:v>27</c:v>
                </c:pt>
                <c:pt idx="13">
                  <c:v>19</c:v>
                </c:pt>
                <c:pt idx="14">
                  <c:v>15</c:v>
                </c:pt>
              </c:strCache>
            </c:strRef>
          </c:cat>
          <c:val>
            <c:numRef>
              <c:f>'Pivot Tables'!$B$4:$B$19</c:f>
              <c:numCache>
                <c:formatCode>"$"#,##0</c:formatCode>
                <c:ptCount val="15"/>
                <c:pt idx="0">
                  <c:v>62600</c:v>
                </c:pt>
                <c:pt idx="1">
                  <c:v>69000</c:v>
                </c:pt>
                <c:pt idx="2">
                  <c:v>190000</c:v>
                </c:pt>
                <c:pt idx="3">
                  <c:v>220100</c:v>
                </c:pt>
                <c:pt idx="4">
                  <c:v>370900</c:v>
                </c:pt>
                <c:pt idx="5">
                  <c:v>1400000</c:v>
                </c:pt>
                <c:pt idx="6">
                  <c:v>1401500</c:v>
                </c:pt>
                <c:pt idx="7">
                  <c:v>1540000</c:v>
                </c:pt>
                <c:pt idx="8">
                  <c:v>5001000</c:v>
                </c:pt>
                <c:pt idx="9">
                  <c:v>6000050</c:v>
                </c:pt>
                <c:pt idx="10">
                  <c:v>7095000</c:v>
                </c:pt>
                <c:pt idx="11">
                  <c:v>7600000</c:v>
                </c:pt>
                <c:pt idx="12">
                  <c:v>10000000</c:v>
                </c:pt>
                <c:pt idx="13">
                  <c:v>15100000</c:v>
                </c:pt>
                <c:pt idx="14">
                  <c:v>16020000</c:v>
                </c:pt>
              </c:numCache>
            </c:numRef>
          </c:val>
          <c:extLst>
            <c:ext xmlns:c16="http://schemas.microsoft.com/office/drawing/2014/chart" uri="{C3380CC4-5D6E-409C-BE32-E72D297353CC}">
              <c16:uniqueId val="{00000000-8137-43F2-8D64-6B7FE78F11EB}"/>
            </c:ext>
          </c:extLst>
        </c:ser>
        <c:dLbls>
          <c:showLegendKey val="0"/>
          <c:showVal val="0"/>
          <c:showCatName val="0"/>
          <c:showSerName val="0"/>
          <c:showPercent val="0"/>
          <c:showBubbleSize val="0"/>
        </c:dLbls>
        <c:gapWidth val="100"/>
        <c:overlap val="-24"/>
        <c:axId val="413342160"/>
        <c:axId val="413346480"/>
      </c:barChart>
      <c:catAx>
        <c:axId val="413342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6480"/>
        <c:crosses val="autoZero"/>
        <c:auto val="1"/>
        <c:lblAlgn val="ctr"/>
        <c:lblOffset val="100"/>
        <c:noMultiLvlLbl val="0"/>
      </c:catAx>
      <c:valAx>
        <c:axId val="413346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4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Tables!PivotTable3</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Tables'!$O$15</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58E-4A39-82CE-11AB19A2F3B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8E-4A39-82CE-11AB19A2F3BC}"/>
              </c:ext>
            </c:extLst>
          </c:dPt>
          <c:cat>
            <c:strRef>
              <c:f>'Pivot Tables'!$N$16:$N$18</c:f>
              <c:strCache>
                <c:ptCount val="2"/>
                <c:pt idx="0">
                  <c:v>Female</c:v>
                </c:pt>
                <c:pt idx="1">
                  <c:v>Male</c:v>
                </c:pt>
              </c:strCache>
            </c:strRef>
          </c:cat>
          <c:val>
            <c:numRef>
              <c:f>'Pivot Tables'!$O$16:$O$18</c:f>
              <c:numCache>
                <c:formatCode>"$"#,##0</c:formatCode>
                <c:ptCount val="2"/>
                <c:pt idx="0">
                  <c:v>36988500</c:v>
                </c:pt>
                <c:pt idx="1">
                  <c:v>35081650</c:v>
                </c:pt>
              </c:numCache>
            </c:numRef>
          </c:val>
          <c:extLst>
            <c:ext xmlns:c16="http://schemas.microsoft.com/office/drawing/2014/chart" uri="{C3380CC4-5D6E-409C-BE32-E72D297353CC}">
              <c16:uniqueId val="{00000004-F58E-4A39-82CE-11AB19A2F3B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[Sanika_Data_Analytics_assginment 1.xlsx]Pivot Tables!PivotTable2</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Tables'!$B$33</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Tables'!$A$34:$A$52</c:f>
              <c:strCache>
                <c:ptCount val="18"/>
                <c:pt idx="0">
                  <c:v>18</c:v>
                </c:pt>
                <c:pt idx="1">
                  <c:v>17</c:v>
                </c:pt>
                <c:pt idx="2">
                  <c:v>22</c:v>
                </c:pt>
                <c:pt idx="3">
                  <c:v>21</c:v>
                </c:pt>
                <c:pt idx="4">
                  <c:v>27</c:v>
                </c:pt>
                <c:pt idx="5">
                  <c:v>23</c:v>
                </c:pt>
                <c:pt idx="6">
                  <c:v>40</c:v>
                </c:pt>
                <c:pt idx="7">
                  <c:v>28</c:v>
                </c:pt>
                <c:pt idx="8">
                  <c:v>26</c:v>
                </c:pt>
                <c:pt idx="9">
                  <c:v>36</c:v>
                </c:pt>
                <c:pt idx="10">
                  <c:v>34</c:v>
                </c:pt>
                <c:pt idx="11">
                  <c:v>55</c:v>
                </c:pt>
                <c:pt idx="12">
                  <c:v>39</c:v>
                </c:pt>
                <c:pt idx="13">
                  <c:v>49</c:v>
                </c:pt>
                <c:pt idx="14">
                  <c:v>29</c:v>
                </c:pt>
                <c:pt idx="15">
                  <c:v>53</c:v>
                </c:pt>
                <c:pt idx="16">
                  <c:v>62</c:v>
                </c:pt>
                <c:pt idx="17">
                  <c:v>54</c:v>
                </c:pt>
              </c:strCache>
            </c:strRef>
          </c:cat>
          <c:val>
            <c:numRef>
              <c:f>'Pivot Tables'!$B$34:$B$52</c:f>
              <c:numCache>
                <c:formatCode>"$"#,##0</c:formatCode>
                <c:ptCount val="18"/>
                <c:pt idx="0">
                  <c:v>3000</c:v>
                </c:pt>
                <c:pt idx="1">
                  <c:v>10000</c:v>
                </c:pt>
                <c:pt idx="2">
                  <c:v>45000</c:v>
                </c:pt>
                <c:pt idx="3">
                  <c:v>86100</c:v>
                </c:pt>
                <c:pt idx="4">
                  <c:v>87000</c:v>
                </c:pt>
                <c:pt idx="5">
                  <c:v>186400</c:v>
                </c:pt>
                <c:pt idx="6">
                  <c:v>220100</c:v>
                </c:pt>
                <c:pt idx="7">
                  <c:v>250000</c:v>
                </c:pt>
                <c:pt idx="8">
                  <c:v>275000</c:v>
                </c:pt>
                <c:pt idx="9">
                  <c:v>391500</c:v>
                </c:pt>
                <c:pt idx="10">
                  <c:v>1010000</c:v>
                </c:pt>
                <c:pt idx="11">
                  <c:v>1540000</c:v>
                </c:pt>
                <c:pt idx="12">
                  <c:v>6000050</c:v>
                </c:pt>
                <c:pt idx="13">
                  <c:v>7600000</c:v>
                </c:pt>
                <c:pt idx="14">
                  <c:v>8245000</c:v>
                </c:pt>
                <c:pt idx="15">
                  <c:v>9300000</c:v>
                </c:pt>
                <c:pt idx="16">
                  <c:v>15001000</c:v>
                </c:pt>
                <c:pt idx="17">
                  <c:v>21820000</c:v>
                </c:pt>
              </c:numCache>
            </c:numRef>
          </c:val>
          <c:smooth val="0"/>
          <c:extLst>
            <c:ext xmlns:c16="http://schemas.microsoft.com/office/drawing/2014/chart" uri="{C3380CC4-5D6E-409C-BE32-E72D297353CC}">
              <c16:uniqueId val="{00000000-4CE9-4ACF-A86D-E13E7990E6EF}"/>
            </c:ext>
          </c:extLst>
        </c:ser>
        <c:dLbls>
          <c:showLegendKey val="0"/>
          <c:showVal val="0"/>
          <c:showCatName val="0"/>
          <c:showSerName val="0"/>
          <c:showPercent val="0"/>
          <c:showBubbleSize val="0"/>
        </c:dLbls>
        <c:marker val="1"/>
        <c:smooth val="0"/>
        <c:axId val="510825432"/>
        <c:axId val="510824352"/>
      </c:lineChart>
      <c:catAx>
        <c:axId val="5108254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4352"/>
        <c:crosses val="autoZero"/>
        <c:auto val="1"/>
        <c:lblAlgn val="ctr"/>
        <c:lblOffset val="100"/>
        <c:noMultiLvlLbl val="0"/>
      </c:catAx>
      <c:valAx>
        <c:axId val="51082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825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19048</xdr:colOff>
      <xdr:row>1</xdr:row>
      <xdr:rowOff>4761</xdr:rowOff>
    </xdr:from>
    <xdr:to>
      <xdr:col>19</xdr:col>
      <xdr:colOff>10886</xdr:colOff>
      <xdr:row>15</xdr:row>
      <xdr:rowOff>161924</xdr:rowOff>
    </xdr:to>
    <xdr:graphicFrame macro="">
      <xdr:nvGraphicFramePr>
        <xdr:cNvPr id="5" name="Chart 4">
          <a:extLst>
            <a:ext uri="{FF2B5EF4-FFF2-40B4-BE49-F238E27FC236}">
              <a16:creationId xmlns:a16="http://schemas.microsoft.com/office/drawing/2014/main" id="{86F5187A-9C29-1805-DC54-5AE35EFD81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597352</xdr:colOff>
      <xdr:row>17</xdr:row>
      <xdr:rowOff>56469</xdr:rowOff>
    </xdr:from>
    <xdr:to>
      <xdr:col>16</xdr:col>
      <xdr:colOff>272143</xdr:colOff>
      <xdr:row>41</xdr:row>
      <xdr:rowOff>119743</xdr:rowOff>
    </xdr:to>
    <xdr:graphicFrame macro="">
      <xdr:nvGraphicFramePr>
        <xdr:cNvPr id="6" name="Chart 5">
          <a:extLst>
            <a:ext uri="{FF2B5EF4-FFF2-40B4-BE49-F238E27FC236}">
              <a16:creationId xmlns:a16="http://schemas.microsoft.com/office/drawing/2014/main" id="{7F21BB93-9D7F-E50D-5ACE-B62D48117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42181</xdr:colOff>
      <xdr:row>17</xdr:row>
      <xdr:rowOff>89126</xdr:rowOff>
    </xdr:from>
    <xdr:to>
      <xdr:col>28</xdr:col>
      <xdr:colOff>283029</xdr:colOff>
      <xdr:row>32</xdr:row>
      <xdr:rowOff>61231</xdr:rowOff>
    </xdr:to>
    <xdr:graphicFrame macro="">
      <xdr:nvGraphicFramePr>
        <xdr:cNvPr id="7" name="Chart 6">
          <a:extLst>
            <a:ext uri="{FF2B5EF4-FFF2-40B4-BE49-F238E27FC236}">
              <a16:creationId xmlns:a16="http://schemas.microsoft.com/office/drawing/2014/main" id="{AF167BA7-7875-7FE9-517C-A973D3978A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673100</xdr:colOff>
      <xdr:row>1</xdr:row>
      <xdr:rowOff>125701</xdr:rowOff>
    </xdr:from>
    <xdr:to>
      <xdr:col>12</xdr:col>
      <xdr:colOff>138545</xdr:colOff>
      <xdr:row>16</xdr:row>
      <xdr:rowOff>17173</xdr:rowOff>
    </xdr:to>
    <xdr:graphicFrame macro="">
      <xdr:nvGraphicFramePr>
        <xdr:cNvPr id="2" name="Chart 1">
          <a:extLst>
            <a:ext uri="{FF2B5EF4-FFF2-40B4-BE49-F238E27FC236}">
              <a16:creationId xmlns:a16="http://schemas.microsoft.com/office/drawing/2014/main" id="{9C3431E8-12DB-20D2-1122-EC3B26E3DA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826655</xdr:colOff>
      <xdr:row>32</xdr:row>
      <xdr:rowOff>35357</xdr:rowOff>
    </xdr:from>
    <xdr:to>
      <xdr:col>11</xdr:col>
      <xdr:colOff>55130</xdr:colOff>
      <xdr:row>46</xdr:row>
      <xdr:rowOff>111557</xdr:rowOff>
    </xdr:to>
    <xdr:graphicFrame macro="">
      <xdr:nvGraphicFramePr>
        <xdr:cNvPr id="3" name="Chart 2">
          <a:extLst>
            <a:ext uri="{FF2B5EF4-FFF2-40B4-BE49-F238E27FC236}">
              <a16:creationId xmlns:a16="http://schemas.microsoft.com/office/drawing/2014/main" id="{3A83DA12-79B8-5420-842B-44C0B2535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210194</xdr:colOff>
      <xdr:row>8</xdr:row>
      <xdr:rowOff>171756</xdr:rowOff>
    </xdr:from>
    <xdr:to>
      <xdr:col>22</xdr:col>
      <xdr:colOff>250264</xdr:colOff>
      <xdr:row>23</xdr:row>
      <xdr:rowOff>144047</xdr:rowOff>
    </xdr:to>
    <xdr:graphicFrame macro="">
      <xdr:nvGraphicFramePr>
        <xdr:cNvPr id="4" name="Chart 3">
          <a:extLst>
            <a:ext uri="{FF2B5EF4-FFF2-40B4-BE49-F238E27FC236}">
              <a16:creationId xmlns:a16="http://schemas.microsoft.com/office/drawing/2014/main" id="{D1E2F0EF-3C7B-EF07-2253-3B3F9C53F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0</xdr:row>
      <xdr:rowOff>167640</xdr:rowOff>
    </xdr:from>
    <xdr:to>
      <xdr:col>11</xdr:col>
      <xdr:colOff>541020</xdr:colOff>
      <xdr:row>3</xdr:row>
      <xdr:rowOff>106680</xdr:rowOff>
    </xdr:to>
    <xdr:sp macro="" textlink="">
      <xdr:nvSpPr>
        <xdr:cNvPr id="2" name="TextBox 1">
          <a:extLst>
            <a:ext uri="{FF2B5EF4-FFF2-40B4-BE49-F238E27FC236}">
              <a16:creationId xmlns:a16="http://schemas.microsoft.com/office/drawing/2014/main" id="{BAD3A8C4-EF88-BB1D-33FB-2E35ECCF25E9}"/>
            </a:ext>
          </a:extLst>
        </xdr:cNvPr>
        <xdr:cNvSpPr txBox="1"/>
      </xdr:nvSpPr>
      <xdr:spPr>
        <a:xfrm>
          <a:off x="2796540" y="167640"/>
          <a:ext cx="4450080" cy="48768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chemeClr val="tx1"/>
              </a:solidFill>
            </a:rPr>
            <a:t>Salary</a:t>
          </a:r>
          <a:r>
            <a:rPr lang="en-IN" sz="2000" baseline="0">
              <a:solidFill>
                <a:schemeClr val="tx1"/>
              </a:solidFill>
            </a:rPr>
            <a:t> Analysis Dashboard</a:t>
          </a:r>
          <a:endParaRPr lang="en-IN" sz="2000">
            <a:solidFill>
              <a:schemeClr val="tx1"/>
            </a:solidFill>
          </a:endParaRPr>
        </a:p>
      </xdr:txBody>
    </xdr:sp>
    <xdr:clientData/>
  </xdr:twoCellAnchor>
  <xdr:twoCellAnchor>
    <xdr:from>
      <xdr:col>2</xdr:col>
      <xdr:colOff>213359</xdr:colOff>
      <xdr:row>4</xdr:row>
      <xdr:rowOff>137160</xdr:rowOff>
    </xdr:from>
    <xdr:to>
      <xdr:col>10</xdr:col>
      <xdr:colOff>106680</xdr:colOff>
      <xdr:row>17</xdr:row>
      <xdr:rowOff>121920</xdr:rowOff>
    </xdr:to>
    <xdr:graphicFrame macro="">
      <xdr:nvGraphicFramePr>
        <xdr:cNvPr id="3" name="Chart 2">
          <a:extLst>
            <a:ext uri="{FF2B5EF4-FFF2-40B4-BE49-F238E27FC236}">
              <a16:creationId xmlns:a16="http://schemas.microsoft.com/office/drawing/2014/main" id="{ED546F40-F044-49BE-A7E6-8995D5439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381000</xdr:colOff>
      <xdr:row>4</xdr:row>
      <xdr:rowOff>137161</xdr:rowOff>
    </xdr:from>
    <xdr:to>
      <xdr:col>16</xdr:col>
      <xdr:colOff>60960</xdr:colOff>
      <xdr:row>17</xdr:row>
      <xdr:rowOff>129540</xdr:rowOff>
    </xdr:to>
    <xdr:graphicFrame macro="">
      <xdr:nvGraphicFramePr>
        <xdr:cNvPr id="4" name="Chart 3">
          <a:extLst>
            <a:ext uri="{FF2B5EF4-FFF2-40B4-BE49-F238E27FC236}">
              <a16:creationId xmlns:a16="http://schemas.microsoft.com/office/drawing/2014/main" id="{CCAF80C8-4C9B-46D9-AA86-EC0700AA2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228600</xdr:colOff>
      <xdr:row>18</xdr:row>
      <xdr:rowOff>76200</xdr:rowOff>
    </xdr:from>
    <xdr:to>
      <xdr:col>16</xdr:col>
      <xdr:colOff>76200</xdr:colOff>
      <xdr:row>32</xdr:row>
      <xdr:rowOff>132080</xdr:rowOff>
    </xdr:to>
    <xdr:graphicFrame macro="">
      <xdr:nvGraphicFramePr>
        <xdr:cNvPr id="5" name="Chart 4">
          <a:extLst>
            <a:ext uri="{FF2B5EF4-FFF2-40B4-BE49-F238E27FC236}">
              <a16:creationId xmlns:a16="http://schemas.microsoft.com/office/drawing/2014/main" id="{C1D52CF7-6146-47C8-B83E-9587F182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0</xdr:rowOff>
    </xdr:from>
    <xdr:to>
      <xdr:col>2</xdr:col>
      <xdr:colOff>163286</xdr:colOff>
      <xdr:row>10</xdr:row>
      <xdr:rowOff>76200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E17F32A5-2E17-41EC-BD6B-EBA745CF1B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919655"/>
              <a:ext cx="1389493" cy="995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11</xdr:row>
      <xdr:rowOff>65315</xdr:rowOff>
    </xdr:from>
    <xdr:to>
      <xdr:col>2</xdr:col>
      <xdr:colOff>163287</xdr:colOff>
      <xdr:row>21</xdr:row>
      <xdr:rowOff>21772</xdr:rowOff>
    </xdr:to>
    <mc:AlternateContent xmlns:mc="http://schemas.openxmlformats.org/markup-compatibility/2006" xmlns:a14="http://schemas.microsoft.com/office/drawing/2010/main">
      <mc:Choice Requires="a14">
        <xdr:graphicFrame macro="">
          <xdr:nvGraphicFramePr>
            <xdr:cNvPr id="7" name="Experience_Years">
              <a:extLst>
                <a:ext uri="{FF2B5EF4-FFF2-40B4-BE49-F238E27FC236}">
                  <a16:creationId xmlns:a16="http://schemas.microsoft.com/office/drawing/2014/main" id="{71AD4873-568B-4BCF-A98C-94479E5AE358}"/>
                </a:ext>
              </a:extLst>
            </xdr:cNvPr>
            <xdr:cNvGraphicFramePr/>
          </xdr:nvGraphicFramePr>
          <xdr:xfrm>
            <a:off x="0" y="0"/>
            <a:ext cx="0" cy="0"/>
          </xdr:xfrm>
          <a:graphic>
            <a:graphicData uri="http://schemas.microsoft.com/office/drawing/2010/slicer">
              <sle:slicer xmlns:sle="http://schemas.microsoft.com/office/drawing/2010/slicer" name="Experience_Years"/>
            </a:graphicData>
          </a:graphic>
        </xdr:graphicFrame>
      </mc:Choice>
      <mc:Fallback xmlns="">
        <xdr:sp macro="" textlink="">
          <xdr:nvSpPr>
            <xdr:cNvPr id="0" name=""/>
            <xdr:cNvSpPr>
              <a:spLocks noTextEdit="1"/>
            </xdr:cNvSpPr>
          </xdr:nvSpPr>
          <xdr:spPr>
            <a:xfrm>
              <a:off x="1" y="2088556"/>
              <a:ext cx="1389493" cy="17957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97971</xdr:rowOff>
    </xdr:from>
    <xdr:to>
      <xdr:col>2</xdr:col>
      <xdr:colOff>185057</xdr:colOff>
      <xdr:row>32</xdr:row>
      <xdr:rowOff>32656</xdr:rowOff>
    </xdr:to>
    <mc:AlternateContent xmlns:mc="http://schemas.openxmlformats.org/markup-compatibility/2006" xmlns:a14="http://schemas.microsoft.com/office/drawing/2010/main">
      <mc:Choice Requires="a14">
        <xdr:graphicFrame macro="">
          <xdr:nvGraphicFramePr>
            <xdr:cNvPr id="8" name="Age">
              <a:extLst>
                <a:ext uri="{FF2B5EF4-FFF2-40B4-BE49-F238E27FC236}">
                  <a16:creationId xmlns:a16="http://schemas.microsoft.com/office/drawing/2014/main" id="{199EE013-A745-42A6-9B4B-920F8E9A580D}"/>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4144454"/>
              <a:ext cx="1411264" cy="17739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GHADGE" refreshedDate="45998.052634953703" createdVersion="8" refreshedVersion="8" minRefreshableVersion="3" recordCount="35" xr:uid="{CEC0C40A-AB81-4DBD-AF14-A38574EB1DEF}">
  <cacheSource type="worksheet">
    <worksheetSource ref="A1:E36" sheet="Formulas and analysis"/>
  </cacheSource>
  <cacheFields count="5">
    <cacheField name="ID" numFmtId="0">
      <sharedItems containsSemiMixedTypes="0" containsString="0" containsNumber="1" containsInteger="1" minValue="1" maxValue="35"/>
    </cacheField>
    <cacheField name="Experience_Years" numFmtId="0">
      <sharedItems containsSemiMixedTypes="0" containsString="0" containsNumber="1" containsInteger="1" minValue="1" maxValue="27" count="15">
        <n v="5"/>
        <n v="1"/>
        <n v="3"/>
        <n v="2"/>
        <n v="25"/>
        <n v="19"/>
        <n v="10"/>
        <n v="15"/>
        <n v="4"/>
        <n v="6"/>
        <n v="14"/>
        <n v="11"/>
        <n v="27"/>
        <n v="20"/>
        <n v="16"/>
      </sharedItems>
    </cacheField>
    <cacheField name="Age" numFmtId="0">
      <sharedItems containsSemiMixedTypes="0" containsString="0" containsNumber="1" containsInteger="1" minValue="17" maxValue="62" count="18">
        <n v="28"/>
        <n v="21"/>
        <n v="23"/>
        <n v="22"/>
        <n v="17"/>
        <n v="62"/>
        <n v="54"/>
        <n v="36"/>
        <n v="26"/>
        <n v="29"/>
        <n v="39"/>
        <n v="40"/>
        <n v="27"/>
        <n v="34"/>
        <n v="18"/>
        <n v="55"/>
        <n v="53"/>
        <n v="49"/>
      </sharedItems>
    </cacheField>
    <cacheField name="Gender" numFmtId="0">
      <sharedItems count="2">
        <s v="Female"/>
        <s v="Male"/>
      </sharedItems>
    </cacheField>
    <cacheField name="Salary" numFmtId="165">
      <sharedItems containsSemiMixedTypes="0" containsString="0" containsNumber="1" containsInteger="1" minValue="3000" maxValue="10000000"/>
    </cacheField>
  </cacheFields>
  <extLst>
    <ext xmlns:x14="http://schemas.microsoft.com/office/spreadsheetml/2009/9/main" uri="{725AE2AE-9491-48be-B2B4-4EB974FC3084}">
      <x14:pivotCacheDefinition pivotCacheId="558419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n v="1"/>
    <x v="0"/>
    <x v="0"/>
    <x v="0"/>
    <n v="250000"/>
  </r>
  <r>
    <n v="2"/>
    <x v="1"/>
    <x v="1"/>
    <x v="1"/>
    <n v="50000"/>
  </r>
  <r>
    <n v="3"/>
    <x v="2"/>
    <x v="2"/>
    <x v="0"/>
    <n v="170000"/>
  </r>
  <r>
    <n v="4"/>
    <x v="3"/>
    <x v="3"/>
    <x v="1"/>
    <n v="25000"/>
  </r>
  <r>
    <n v="5"/>
    <x v="1"/>
    <x v="4"/>
    <x v="1"/>
    <n v="10000"/>
  </r>
  <r>
    <n v="6"/>
    <x v="4"/>
    <x v="5"/>
    <x v="1"/>
    <n v="5001000"/>
  </r>
  <r>
    <n v="7"/>
    <x v="5"/>
    <x v="6"/>
    <x v="0"/>
    <n v="800000"/>
  </r>
  <r>
    <n v="8"/>
    <x v="3"/>
    <x v="1"/>
    <x v="0"/>
    <n v="9000"/>
  </r>
  <r>
    <n v="9"/>
    <x v="6"/>
    <x v="7"/>
    <x v="0"/>
    <n v="61500"/>
  </r>
  <r>
    <n v="10"/>
    <x v="7"/>
    <x v="6"/>
    <x v="0"/>
    <n v="650000"/>
  </r>
  <r>
    <n v="11"/>
    <x v="8"/>
    <x v="8"/>
    <x v="0"/>
    <n v="250000"/>
  </r>
  <r>
    <n v="12"/>
    <x v="9"/>
    <x v="9"/>
    <x v="1"/>
    <n v="1400000"/>
  </r>
  <r>
    <n v="13"/>
    <x v="10"/>
    <x v="10"/>
    <x v="1"/>
    <n v="6000050"/>
  </r>
  <r>
    <n v="14"/>
    <x v="11"/>
    <x v="11"/>
    <x v="1"/>
    <n v="220100"/>
  </r>
  <r>
    <n v="15"/>
    <x v="3"/>
    <x v="2"/>
    <x v="1"/>
    <n v="7500"/>
  </r>
  <r>
    <n v="16"/>
    <x v="8"/>
    <x v="12"/>
    <x v="0"/>
    <n v="87000"/>
  </r>
  <r>
    <n v="17"/>
    <x v="6"/>
    <x v="13"/>
    <x v="0"/>
    <n v="930000"/>
  </r>
  <r>
    <n v="18"/>
    <x v="7"/>
    <x v="6"/>
    <x v="0"/>
    <n v="7900000"/>
  </r>
  <r>
    <n v="19"/>
    <x v="3"/>
    <x v="1"/>
    <x v="1"/>
    <n v="15000"/>
  </r>
  <r>
    <n v="20"/>
    <x v="6"/>
    <x v="7"/>
    <x v="1"/>
    <n v="330000"/>
  </r>
  <r>
    <n v="21"/>
    <x v="7"/>
    <x v="6"/>
    <x v="1"/>
    <n v="6570000"/>
  </r>
  <r>
    <n v="22"/>
    <x v="8"/>
    <x v="8"/>
    <x v="1"/>
    <n v="25000"/>
  </r>
  <r>
    <n v="23"/>
    <x v="0"/>
    <x v="9"/>
    <x v="1"/>
    <n v="6845000"/>
  </r>
  <r>
    <n v="24"/>
    <x v="1"/>
    <x v="1"/>
    <x v="0"/>
    <n v="6000"/>
  </r>
  <r>
    <n v="25"/>
    <x v="8"/>
    <x v="2"/>
    <x v="0"/>
    <n v="8900"/>
  </r>
  <r>
    <n v="26"/>
    <x v="2"/>
    <x v="3"/>
    <x v="0"/>
    <n v="20000"/>
  </r>
  <r>
    <n v="27"/>
    <x v="1"/>
    <x v="14"/>
    <x v="1"/>
    <n v="3000"/>
  </r>
  <r>
    <n v="28"/>
    <x v="12"/>
    <x v="5"/>
    <x v="0"/>
    <n v="10000000"/>
  </r>
  <r>
    <n v="29"/>
    <x v="5"/>
    <x v="6"/>
    <x v="0"/>
    <n v="5000000"/>
  </r>
  <r>
    <n v="30"/>
    <x v="3"/>
    <x v="1"/>
    <x v="0"/>
    <n v="6100"/>
  </r>
  <r>
    <n v="31"/>
    <x v="6"/>
    <x v="13"/>
    <x v="1"/>
    <n v="80000"/>
  </r>
  <r>
    <n v="32"/>
    <x v="7"/>
    <x v="6"/>
    <x v="1"/>
    <n v="900000"/>
  </r>
  <r>
    <n v="33"/>
    <x v="13"/>
    <x v="15"/>
    <x v="0"/>
    <n v="1540000"/>
  </r>
  <r>
    <n v="34"/>
    <x v="5"/>
    <x v="16"/>
    <x v="0"/>
    <n v="9300000"/>
  </r>
  <r>
    <n v="35"/>
    <x v="14"/>
    <x v="17"/>
    <x v="1"/>
    <n v="76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1DECF-7EDA-40DE-A222-1B0AB640677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9" firstHeaderRow="1" firstDataRow="1" firstDataCol="1"/>
  <pivotFields count="5">
    <pivotField showAll="0"/>
    <pivotField axis="axisRow" showAll="0" sortType="ascending">
      <items count="16">
        <item x="1"/>
        <item x="3"/>
        <item x="2"/>
        <item x="8"/>
        <item x="0"/>
        <item x="9"/>
        <item x="6"/>
        <item x="11"/>
        <item x="10"/>
        <item x="7"/>
        <item x="14"/>
        <item x="5"/>
        <item x="13"/>
        <item x="4"/>
        <item x="12"/>
        <item t="default"/>
      </items>
      <autoSortScope>
        <pivotArea dataOnly="0" outline="0" fieldPosition="0">
          <references count="1">
            <reference field="4294967294" count="1" selected="0">
              <x v="0"/>
            </reference>
          </references>
        </pivotArea>
      </autoSortScope>
    </pivotField>
    <pivotField showAll="0">
      <items count="19">
        <item x="4"/>
        <item x="14"/>
        <item x="1"/>
        <item x="3"/>
        <item x="2"/>
        <item x="8"/>
        <item x="12"/>
        <item x="0"/>
        <item x="9"/>
        <item x="13"/>
        <item x="7"/>
        <item x="10"/>
        <item x="11"/>
        <item x="17"/>
        <item x="16"/>
        <item x="6"/>
        <item x="15"/>
        <item x="5"/>
        <item t="default"/>
      </items>
    </pivotField>
    <pivotField showAll="0">
      <items count="3">
        <item x="0"/>
        <item x="1"/>
        <item t="default"/>
      </items>
    </pivotField>
    <pivotField dataField="1" numFmtId="165" showAll="0"/>
  </pivotFields>
  <rowFields count="1">
    <field x="1"/>
  </rowFields>
  <rowItems count="16">
    <i>
      <x v="1"/>
    </i>
    <i>
      <x/>
    </i>
    <i>
      <x v="2"/>
    </i>
    <i>
      <x v="7"/>
    </i>
    <i>
      <x v="3"/>
    </i>
    <i>
      <x v="5"/>
    </i>
    <i>
      <x v="6"/>
    </i>
    <i>
      <x v="12"/>
    </i>
    <i>
      <x v="13"/>
    </i>
    <i>
      <x v="8"/>
    </i>
    <i>
      <x v="4"/>
    </i>
    <i>
      <x v="10"/>
    </i>
    <i>
      <x v="14"/>
    </i>
    <i>
      <x v="11"/>
    </i>
    <i>
      <x v="9"/>
    </i>
    <i t="grand">
      <x/>
    </i>
  </rowItems>
  <colItems count="1">
    <i/>
  </colItems>
  <dataFields count="1">
    <dataField name="Sum of Salary by Experience" fld="4" baseField="3" baseItem="1" numFmtId="165"/>
  </dataField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A58860-6413-43B8-8528-03E255E4B1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15:O18" firstHeaderRow="1" firstDataRow="1" firstDataCol="1"/>
  <pivotFields count="5">
    <pivotField showAll="0"/>
    <pivotField showAll="0" sortType="ascending">
      <items count="16">
        <item x="1"/>
        <item x="3"/>
        <item x="2"/>
        <item x="8"/>
        <item x="0"/>
        <item x="9"/>
        <item x="6"/>
        <item x="11"/>
        <item x="10"/>
        <item x="7"/>
        <item x="14"/>
        <item x="5"/>
        <item x="13"/>
        <item x="4"/>
        <item x="12"/>
        <item t="default"/>
      </items>
      <autoSortScope>
        <pivotArea dataOnly="0" outline="0" fieldPosition="0">
          <references count="1">
            <reference field="4294967294" count="1" selected="0">
              <x v="0"/>
            </reference>
          </references>
        </pivotArea>
      </autoSortScope>
    </pivotField>
    <pivotField showAll="0">
      <items count="19">
        <item x="4"/>
        <item x="14"/>
        <item x="1"/>
        <item x="3"/>
        <item x="2"/>
        <item x="8"/>
        <item x="12"/>
        <item x="0"/>
        <item x="9"/>
        <item x="13"/>
        <item x="7"/>
        <item x="10"/>
        <item x="11"/>
        <item x="17"/>
        <item x="16"/>
        <item x="6"/>
        <item x="15"/>
        <item x="5"/>
        <item t="default"/>
      </items>
    </pivotField>
    <pivotField axis="axisRow" showAll="0">
      <items count="3">
        <item x="0"/>
        <item x="1"/>
        <item t="default"/>
      </items>
    </pivotField>
    <pivotField dataField="1" numFmtId="165" showAll="0"/>
  </pivotFields>
  <rowFields count="1">
    <field x="3"/>
  </rowFields>
  <rowItems count="3">
    <i>
      <x/>
    </i>
    <i>
      <x v="1"/>
    </i>
    <i t="grand">
      <x/>
    </i>
  </rowItems>
  <colItems count="1">
    <i/>
  </colItems>
  <dataFields count="1">
    <dataField name="Sum of Salary by Gender" fld="4" baseField="3" baseItem="0" numFmtId="165"/>
  </dataFields>
  <chartFormats count="8">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3" count="1" selected="0">
            <x v="0"/>
          </reference>
        </references>
      </pivotArea>
    </chartFormat>
    <chartFormat chart="10" format="6">
      <pivotArea type="data" outline="0" fieldPosition="0">
        <references count="2">
          <reference field="4294967294" count="1" selected="0">
            <x v="0"/>
          </reference>
          <reference field="3" count="1" selected="0">
            <x v="1"/>
          </reference>
        </references>
      </pivotArea>
    </chartFormat>
    <chartFormat chart="6" format="1">
      <pivotArea type="data" outline="0" fieldPosition="0">
        <references count="2">
          <reference field="4294967294" count="1" selected="0">
            <x v="0"/>
          </reference>
          <reference field="3" count="1" selected="0">
            <x v="0"/>
          </reference>
        </references>
      </pivotArea>
    </chartFormat>
    <chartFormat chart="6"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EE8ACE-61F9-4839-A96B-3B1505C78D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3:B52" firstHeaderRow="1" firstDataRow="1" firstDataCol="1"/>
  <pivotFields count="5">
    <pivotField showAll="0"/>
    <pivotField showAll="0">
      <items count="16">
        <item x="1"/>
        <item x="3"/>
        <item x="2"/>
        <item x="8"/>
        <item x="0"/>
        <item x="9"/>
        <item x="6"/>
        <item x="11"/>
        <item x="10"/>
        <item x="7"/>
        <item x="14"/>
        <item x="5"/>
        <item x="13"/>
        <item x="4"/>
        <item x="12"/>
        <item t="default"/>
      </items>
    </pivotField>
    <pivotField axis="axisRow" showAll="0" sortType="ascending">
      <items count="19">
        <item x="4"/>
        <item x="14"/>
        <item x="1"/>
        <item x="3"/>
        <item x="2"/>
        <item x="8"/>
        <item x="12"/>
        <item x="0"/>
        <item x="9"/>
        <item x="13"/>
        <item x="7"/>
        <item x="10"/>
        <item x="11"/>
        <item x="17"/>
        <item x="16"/>
        <item x="6"/>
        <item x="15"/>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dataField="1" numFmtId="165" showAll="0"/>
  </pivotFields>
  <rowFields count="1">
    <field x="2"/>
  </rowFields>
  <rowItems count="19">
    <i>
      <x v="1"/>
    </i>
    <i>
      <x/>
    </i>
    <i>
      <x v="3"/>
    </i>
    <i>
      <x v="2"/>
    </i>
    <i>
      <x v="6"/>
    </i>
    <i>
      <x v="4"/>
    </i>
    <i>
      <x v="12"/>
    </i>
    <i>
      <x v="7"/>
    </i>
    <i>
      <x v="5"/>
    </i>
    <i>
      <x v="10"/>
    </i>
    <i>
      <x v="9"/>
    </i>
    <i>
      <x v="16"/>
    </i>
    <i>
      <x v="11"/>
    </i>
    <i>
      <x v="13"/>
    </i>
    <i>
      <x v="8"/>
    </i>
    <i>
      <x v="14"/>
    </i>
    <i>
      <x v="17"/>
    </i>
    <i>
      <x v="15"/>
    </i>
    <i t="grand">
      <x/>
    </i>
  </rowItems>
  <colItems count="1">
    <i/>
  </colItems>
  <dataFields count="1">
    <dataField name="Sum of Salary by Age" fld="4" baseField="2" baseItem="14" numFmtId="165"/>
  </dataField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A43CA2F-951C-4FD7-8051-7ED617AE3FEB}" sourceName="Gender">
  <pivotTables>
    <pivotTable tabId="11" name="PivotTable3"/>
    <pivotTable tabId="11" name="PivotTable1"/>
    <pivotTable tabId="11" name="PivotTable2"/>
  </pivotTables>
  <data>
    <tabular pivotCacheId="5584198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Years" xr10:uid="{B6E7D890-00C5-479F-962E-98DB2218CCA7}" sourceName="Experience_Years">
  <pivotTables>
    <pivotTable tabId="11" name="PivotTable1"/>
    <pivotTable tabId="11" name="PivotTable2"/>
    <pivotTable tabId="11" name="PivotTable3"/>
  </pivotTables>
  <data>
    <tabular pivotCacheId="558419885">
      <items count="15">
        <i x="1" s="1"/>
        <i x="3" s="1"/>
        <i x="2" s="1"/>
        <i x="8" s="1"/>
        <i x="0" s="1"/>
        <i x="9" s="1"/>
        <i x="6" s="1"/>
        <i x="11" s="1"/>
        <i x="10" s="1"/>
        <i x="7" s="1"/>
        <i x="14" s="1"/>
        <i x="5" s="1"/>
        <i x="13" s="1"/>
        <i x="4"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DED1803-E6CF-4F95-ADD6-505EAC97EE08}" sourceName="Age">
  <pivotTables>
    <pivotTable tabId="11" name="PivotTable2"/>
    <pivotTable tabId="11" name="PivotTable1"/>
    <pivotTable tabId="11" name="PivotTable3"/>
  </pivotTables>
  <data>
    <tabular pivotCacheId="558419885">
      <items count="18">
        <i x="4" s="1"/>
        <i x="14" s="1"/>
        <i x="1" s="1"/>
        <i x="3" s="1"/>
        <i x="2" s="1"/>
        <i x="8" s="1"/>
        <i x="12" s="1"/>
        <i x="0" s="1"/>
        <i x="9" s="1"/>
        <i x="13" s="1"/>
        <i x="7" s="1"/>
        <i x="10" s="1"/>
        <i x="11" s="1"/>
        <i x="17" s="1"/>
        <i x="16" s="1"/>
        <i x="6" s="1"/>
        <i x="15"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E1EE947-ABB4-4F54-967C-E4BD13928199}" cache="Slicer_Gender" caption="Gender" style="SlicerStyleDark6" rowHeight="234950"/>
  <slicer name="Experience_Years" xr10:uid="{37D6D63B-3F28-4748-85E1-0E06E6F9CFEA}" cache="Slicer_Experience_Years" caption="Experience_Years" style="SlicerStyleDark6" rowHeight="234950"/>
  <slicer name="Age" xr10:uid="{89BE5846-01AB-455A-BCD5-0DEAF5136DA5}" cache="Slicer_Age" caption="Age" style="SlicerStyleDark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15559-C58A-4417-9C3E-B679BCBFF726}">
  <dimension ref="A1:M36"/>
  <sheetViews>
    <sheetView tabSelected="1" zoomScale="75" workbookViewId="0">
      <selection activeCell="M12" sqref="M12"/>
    </sheetView>
  </sheetViews>
  <sheetFormatPr defaultRowHeight="14.4" x14ac:dyDescent="0.3"/>
  <cols>
    <col min="5" max="5" width="15.33203125" bestFit="1" customWidth="1"/>
    <col min="7" max="7" width="36.21875" bestFit="1" customWidth="1"/>
    <col min="8" max="8" width="16.5546875" customWidth="1"/>
    <col min="9" max="9" width="16.77734375" bestFit="1" customWidth="1"/>
    <col min="10" max="10" width="10.44140625" bestFit="1" customWidth="1"/>
    <col min="11" max="12" width="13.88671875" bestFit="1" customWidth="1"/>
    <col min="13" max="13" width="11.6640625" bestFit="1" customWidth="1"/>
  </cols>
  <sheetData>
    <row r="1" spans="1:13" ht="18" customHeight="1" x14ac:dyDescent="0.3">
      <c r="A1" s="5" t="s">
        <v>0</v>
      </c>
      <c r="B1" s="5" t="s">
        <v>1</v>
      </c>
      <c r="C1" s="5" t="s">
        <v>2</v>
      </c>
      <c r="D1" s="5" t="s">
        <v>3</v>
      </c>
      <c r="E1" s="5" t="s">
        <v>4</v>
      </c>
      <c r="G1" s="7" t="s">
        <v>11</v>
      </c>
      <c r="H1" s="6" t="s">
        <v>12</v>
      </c>
      <c r="I1" s="6" t="s">
        <v>16</v>
      </c>
      <c r="J1" s="6" t="s">
        <v>20</v>
      </c>
      <c r="K1" s="6" t="s">
        <v>21</v>
      </c>
      <c r="L1" s="6" t="s">
        <v>22</v>
      </c>
      <c r="M1" s="6"/>
    </row>
    <row r="2" spans="1:13" x14ac:dyDescent="0.3">
      <c r="A2">
        <v>1</v>
      </c>
      <c r="B2">
        <v>5</v>
      </c>
      <c r="C2">
        <v>28</v>
      </c>
      <c r="D2" t="s">
        <v>5</v>
      </c>
      <c r="E2" s="2">
        <v>250000</v>
      </c>
      <c r="G2" t="str">
        <f>IF(E2&gt;1500000,"High",IF(E2&gt;=800000,"Medium","Low"))</f>
        <v>Low</v>
      </c>
    </row>
    <row r="3" spans="1:13" x14ac:dyDescent="0.3">
      <c r="A3">
        <v>2</v>
      </c>
      <c r="B3">
        <v>1</v>
      </c>
      <c r="C3">
        <v>21</v>
      </c>
      <c r="D3" t="s">
        <v>6</v>
      </c>
      <c r="E3" s="2">
        <v>50000</v>
      </c>
      <c r="G3" t="str">
        <f t="shared" ref="G3:G36" si="0">IF(E3&gt;1500000,"High",IF(E3&gt;=800000,"Medium","Low"))</f>
        <v>Low</v>
      </c>
      <c r="H3" t="s">
        <v>13</v>
      </c>
      <c r="I3" t="s">
        <v>15</v>
      </c>
      <c r="J3" s="1">
        <f>AVERAGE(E2:E36)</f>
        <v>2059147.142857143</v>
      </c>
      <c r="K3" s="1">
        <f>MAX(E2:E36)</f>
        <v>10000000</v>
      </c>
      <c r="L3" s="1">
        <f>MIN(E2:E36)</f>
        <v>3000</v>
      </c>
    </row>
    <row r="4" spans="1:13" x14ac:dyDescent="0.3">
      <c r="A4">
        <v>3</v>
      </c>
      <c r="B4">
        <v>3</v>
      </c>
      <c r="C4">
        <v>23</v>
      </c>
      <c r="D4" t="s">
        <v>5</v>
      </c>
      <c r="E4" s="2">
        <v>170000</v>
      </c>
      <c r="G4" t="str">
        <f t="shared" si="0"/>
        <v>Low</v>
      </c>
      <c r="H4">
        <f>COUNTIF(D2:D36,"Male")</f>
        <v>17</v>
      </c>
      <c r="I4" s="1">
        <f>SUM(E2:E36)</f>
        <v>72070150</v>
      </c>
      <c r="K4" s="8"/>
      <c r="L4" s="8"/>
      <c r="M4" s="8"/>
    </row>
    <row r="5" spans="1:13" x14ac:dyDescent="0.3">
      <c r="A5">
        <v>4</v>
      </c>
      <c r="B5">
        <v>2</v>
      </c>
      <c r="C5">
        <v>22</v>
      </c>
      <c r="D5" t="s">
        <v>6</v>
      </c>
      <c r="E5" s="2">
        <v>25000</v>
      </c>
      <c r="G5" t="str">
        <f t="shared" si="0"/>
        <v>Low</v>
      </c>
    </row>
    <row r="6" spans="1:13" x14ac:dyDescent="0.3">
      <c r="A6">
        <v>5</v>
      </c>
      <c r="B6">
        <v>1</v>
      </c>
      <c r="C6">
        <v>17</v>
      </c>
      <c r="D6" t="s">
        <v>6</v>
      </c>
      <c r="E6" s="2">
        <v>10000</v>
      </c>
      <c r="G6" t="str">
        <f t="shared" si="0"/>
        <v>Low</v>
      </c>
      <c r="H6" t="s">
        <v>14</v>
      </c>
      <c r="I6" t="s">
        <v>17</v>
      </c>
      <c r="K6" t="s">
        <v>19</v>
      </c>
      <c r="L6" t="s">
        <v>24</v>
      </c>
      <c r="M6" t="s">
        <v>25</v>
      </c>
    </row>
    <row r="7" spans="1:13" x14ac:dyDescent="0.3">
      <c r="A7">
        <v>6</v>
      </c>
      <c r="B7">
        <v>25</v>
      </c>
      <c r="C7">
        <v>62</v>
      </c>
      <c r="D7" t="s">
        <v>6</v>
      </c>
      <c r="E7" s="2">
        <v>5001000</v>
      </c>
      <c r="G7" t="str">
        <f t="shared" si="0"/>
        <v>High</v>
      </c>
      <c r="H7">
        <f>COUNTIF(D2:D36,"Female")</f>
        <v>18</v>
      </c>
      <c r="I7">
        <f>SUMIF(D2:D36,"Male",E2:E36)</f>
        <v>35081650</v>
      </c>
      <c r="K7" s="9">
        <f>AVERAGE(C2:C36)</f>
        <v>35.485714285714288</v>
      </c>
      <c r="L7">
        <f>MAX(C2:C36)</f>
        <v>62</v>
      </c>
      <c r="M7">
        <f>MIN(C2:C36)</f>
        <v>17</v>
      </c>
    </row>
    <row r="8" spans="1:13" x14ac:dyDescent="0.3">
      <c r="A8">
        <v>7</v>
      </c>
      <c r="B8">
        <v>19</v>
      </c>
      <c r="C8">
        <v>54</v>
      </c>
      <c r="D8" t="s">
        <v>5</v>
      </c>
      <c r="E8" s="2">
        <v>800000</v>
      </c>
      <c r="G8" t="str">
        <f t="shared" si="0"/>
        <v>Medium</v>
      </c>
    </row>
    <row r="9" spans="1:13" x14ac:dyDescent="0.3">
      <c r="A9">
        <v>8</v>
      </c>
      <c r="B9">
        <v>2</v>
      </c>
      <c r="C9">
        <v>21</v>
      </c>
      <c r="D9" t="s">
        <v>5</v>
      </c>
      <c r="E9" s="2">
        <v>9000</v>
      </c>
      <c r="G9" t="str">
        <f t="shared" si="0"/>
        <v>Low</v>
      </c>
      <c r="I9" t="s">
        <v>18</v>
      </c>
    </row>
    <row r="10" spans="1:13" x14ac:dyDescent="0.3">
      <c r="A10">
        <v>9</v>
      </c>
      <c r="B10">
        <v>10</v>
      </c>
      <c r="C10">
        <v>36</v>
      </c>
      <c r="D10" t="s">
        <v>5</v>
      </c>
      <c r="E10" s="2">
        <v>61500</v>
      </c>
      <c r="G10" t="str">
        <f t="shared" si="0"/>
        <v>Low</v>
      </c>
      <c r="I10">
        <f>SUMIF(D2:D36,"Female",E2:E36)</f>
        <v>36988500</v>
      </c>
      <c r="K10" t="s">
        <v>26</v>
      </c>
      <c r="L10" t="s">
        <v>28</v>
      </c>
      <c r="M10" t="s">
        <v>29</v>
      </c>
    </row>
    <row r="11" spans="1:13" x14ac:dyDescent="0.3">
      <c r="A11">
        <v>10</v>
      </c>
      <c r="B11">
        <v>15</v>
      </c>
      <c r="C11">
        <v>54</v>
      </c>
      <c r="D11" t="s">
        <v>5</v>
      </c>
      <c r="E11" s="2">
        <v>650000</v>
      </c>
      <c r="G11" t="str">
        <f t="shared" si="0"/>
        <v>Low</v>
      </c>
      <c r="K11">
        <f>AVERAGE(B2:B36)</f>
        <v>9.1999999999999993</v>
      </c>
      <c r="L11">
        <f>MIN(B2:B36)</f>
        <v>1</v>
      </c>
      <c r="M11">
        <f>MAX(B2:B36)</f>
        <v>27</v>
      </c>
    </row>
    <row r="12" spans="1:13" x14ac:dyDescent="0.3">
      <c r="A12">
        <v>11</v>
      </c>
      <c r="B12">
        <v>4</v>
      </c>
      <c r="C12">
        <v>26</v>
      </c>
      <c r="D12" t="s">
        <v>5</v>
      </c>
      <c r="E12" s="2">
        <v>250000</v>
      </c>
      <c r="G12" t="str">
        <f t="shared" si="0"/>
        <v>Low</v>
      </c>
    </row>
    <row r="13" spans="1:13" x14ac:dyDescent="0.3">
      <c r="A13">
        <v>12</v>
      </c>
      <c r="B13">
        <v>6</v>
      </c>
      <c r="C13">
        <v>29</v>
      </c>
      <c r="D13" t="s">
        <v>6</v>
      </c>
      <c r="E13" s="2">
        <v>1400000</v>
      </c>
      <c r="G13" t="str">
        <f t="shared" si="0"/>
        <v>Medium</v>
      </c>
    </row>
    <row r="14" spans="1:13" x14ac:dyDescent="0.3">
      <c r="A14">
        <v>13</v>
      </c>
      <c r="B14">
        <v>14</v>
      </c>
      <c r="C14">
        <v>39</v>
      </c>
      <c r="D14" t="s">
        <v>6</v>
      </c>
      <c r="E14" s="2">
        <v>6000050</v>
      </c>
      <c r="G14" t="str">
        <f t="shared" si="0"/>
        <v>High</v>
      </c>
      <c r="H14" t="s">
        <v>23</v>
      </c>
      <c r="I14">
        <f>VLOOKUP(A14,A2:E36,5,1)</f>
        <v>6000050</v>
      </c>
    </row>
    <row r="15" spans="1:13" x14ac:dyDescent="0.3">
      <c r="A15">
        <v>14</v>
      </c>
      <c r="B15">
        <v>11</v>
      </c>
      <c r="C15">
        <v>40</v>
      </c>
      <c r="D15" t="s">
        <v>6</v>
      </c>
      <c r="E15" s="2">
        <v>220100</v>
      </c>
      <c r="G15" t="str">
        <f t="shared" si="0"/>
        <v>Low</v>
      </c>
      <c r="I15" t="str">
        <f>VLOOKUP(A10,A2:E36,4,1)</f>
        <v>Female</v>
      </c>
    </row>
    <row r="16" spans="1:13" x14ac:dyDescent="0.3">
      <c r="A16">
        <v>15</v>
      </c>
      <c r="B16">
        <v>2</v>
      </c>
      <c r="C16">
        <v>23</v>
      </c>
      <c r="D16" t="s">
        <v>6</v>
      </c>
      <c r="E16" s="2">
        <v>7500</v>
      </c>
      <c r="G16" t="str">
        <f t="shared" si="0"/>
        <v>Low</v>
      </c>
    </row>
    <row r="17" spans="1:7" x14ac:dyDescent="0.3">
      <c r="A17">
        <v>16</v>
      </c>
      <c r="B17">
        <v>4</v>
      </c>
      <c r="C17">
        <v>27</v>
      </c>
      <c r="D17" t="s">
        <v>5</v>
      </c>
      <c r="E17" s="2">
        <v>87000</v>
      </c>
      <c r="G17" t="str">
        <f t="shared" si="0"/>
        <v>Low</v>
      </c>
    </row>
    <row r="18" spans="1:7" x14ac:dyDescent="0.3">
      <c r="A18">
        <v>17</v>
      </c>
      <c r="B18">
        <v>10</v>
      </c>
      <c r="C18">
        <v>34</v>
      </c>
      <c r="D18" t="s">
        <v>5</v>
      </c>
      <c r="E18" s="2">
        <v>930000</v>
      </c>
      <c r="G18" t="str">
        <f t="shared" si="0"/>
        <v>Medium</v>
      </c>
    </row>
    <row r="19" spans="1:7" x14ac:dyDescent="0.3">
      <c r="A19">
        <v>18</v>
      </c>
      <c r="B19">
        <v>15</v>
      </c>
      <c r="C19">
        <v>54</v>
      </c>
      <c r="D19" t="s">
        <v>5</v>
      </c>
      <c r="E19" s="2">
        <v>7900000</v>
      </c>
      <c r="G19" t="str">
        <f t="shared" si="0"/>
        <v>High</v>
      </c>
    </row>
    <row r="20" spans="1:7" x14ac:dyDescent="0.3">
      <c r="A20">
        <v>19</v>
      </c>
      <c r="B20">
        <v>2</v>
      </c>
      <c r="C20">
        <v>21</v>
      </c>
      <c r="D20" t="s">
        <v>6</v>
      </c>
      <c r="E20" s="2">
        <v>15000</v>
      </c>
      <c r="G20" t="str">
        <f t="shared" si="0"/>
        <v>Low</v>
      </c>
    </row>
    <row r="21" spans="1:7" x14ac:dyDescent="0.3">
      <c r="A21">
        <v>20</v>
      </c>
      <c r="B21">
        <v>10</v>
      </c>
      <c r="C21">
        <v>36</v>
      </c>
      <c r="D21" t="s">
        <v>6</v>
      </c>
      <c r="E21" s="2">
        <v>330000</v>
      </c>
      <c r="G21" t="str">
        <f t="shared" si="0"/>
        <v>Low</v>
      </c>
    </row>
    <row r="22" spans="1:7" x14ac:dyDescent="0.3">
      <c r="A22">
        <v>21</v>
      </c>
      <c r="B22">
        <v>15</v>
      </c>
      <c r="C22">
        <v>54</v>
      </c>
      <c r="D22" t="s">
        <v>6</v>
      </c>
      <c r="E22" s="2">
        <v>6570000</v>
      </c>
      <c r="G22" t="str">
        <f t="shared" si="0"/>
        <v>High</v>
      </c>
    </row>
    <row r="23" spans="1:7" x14ac:dyDescent="0.3">
      <c r="A23">
        <v>22</v>
      </c>
      <c r="B23">
        <v>4</v>
      </c>
      <c r="C23">
        <v>26</v>
      </c>
      <c r="D23" t="s">
        <v>6</v>
      </c>
      <c r="E23" s="2">
        <v>25000</v>
      </c>
      <c r="G23" t="str">
        <f t="shared" si="0"/>
        <v>Low</v>
      </c>
    </row>
    <row r="24" spans="1:7" x14ac:dyDescent="0.3">
      <c r="A24">
        <v>23</v>
      </c>
      <c r="B24">
        <v>5</v>
      </c>
      <c r="C24">
        <v>29</v>
      </c>
      <c r="D24" t="s">
        <v>6</v>
      </c>
      <c r="E24" s="2">
        <v>6845000</v>
      </c>
      <c r="G24" t="str">
        <f t="shared" si="0"/>
        <v>High</v>
      </c>
    </row>
    <row r="25" spans="1:7" x14ac:dyDescent="0.3">
      <c r="A25">
        <v>24</v>
      </c>
      <c r="B25">
        <v>1</v>
      </c>
      <c r="C25">
        <v>21</v>
      </c>
      <c r="D25" t="s">
        <v>5</v>
      </c>
      <c r="E25" s="2">
        <v>6000</v>
      </c>
      <c r="G25" t="str">
        <f t="shared" si="0"/>
        <v>Low</v>
      </c>
    </row>
    <row r="26" spans="1:7" x14ac:dyDescent="0.3">
      <c r="A26">
        <v>25</v>
      </c>
      <c r="B26">
        <v>4</v>
      </c>
      <c r="C26">
        <v>23</v>
      </c>
      <c r="D26" t="s">
        <v>5</v>
      </c>
      <c r="E26" s="2">
        <v>8900</v>
      </c>
      <c r="G26" t="str">
        <f t="shared" si="0"/>
        <v>Low</v>
      </c>
    </row>
    <row r="27" spans="1:7" x14ac:dyDescent="0.3">
      <c r="A27">
        <v>26</v>
      </c>
      <c r="B27">
        <v>3</v>
      </c>
      <c r="C27">
        <v>22</v>
      </c>
      <c r="D27" t="s">
        <v>5</v>
      </c>
      <c r="E27" s="2">
        <v>20000</v>
      </c>
      <c r="G27" t="str">
        <f t="shared" si="0"/>
        <v>Low</v>
      </c>
    </row>
    <row r="28" spans="1:7" x14ac:dyDescent="0.3">
      <c r="A28">
        <v>27</v>
      </c>
      <c r="B28">
        <v>1</v>
      </c>
      <c r="C28">
        <v>18</v>
      </c>
      <c r="D28" t="s">
        <v>6</v>
      </c>
      <c r="E28" s="2">
        <v>3000</v>
      </c>
      <c r="G28" t="str">
        <f t="shared" si="0"/>
        <v>Low</v>
      </c>
    </row>
    <row r="29" spans="1:7" x14ac:dyDescent="0.3">
      <c r="A29">
        <v>28</v>
      </c>
      <c r="B29">
        <v>27</v>
      </c>
      <c r="C29">
        <v>62</v>
      </c>
      <c r="D29" t="s">
        <v>5</v>
      </c>
      <c r="E29" s="2">
        <v>10000000</v>
      </c>
      <c r="G29" t="str">
        <f t="shared" si="0"/>
        <v>High</v>
      </c>
    </row>
    <row r="30" spans="1:7" x14ac:dyDescent="0.3">
      <c r="A30">
        <v>29</v>
      </c>
      <c r="B30">
        <v>19</v>
      </c>
      <c r="C30">
        <v>54</v>
      </c>
      <c r="D30" t="s">
        <v>5</v>
      </c>
      <c r="E30" s="2">
        <v>5000000</v>
      </c>
      <c r="G30" t="str">
        <f t="shared" si="0"/>
        <v>High</v>
      </c>
    </row>
    <row r="31" spans="1:7" x14ac:dyDescent="0.3">
      <c r="A31">
        <v>30</v>
      </c>
      <c r="B31">
        <v>2</v>
      </c>
      <c r="C31">
        <v>21</v>
      </c>
      <c r="D31" t="s">
        <v>5</v>
      </c>
      <c r="E31" s="2">
        <v>6100</v>
      </c>
      <c r="G31" t="str">
        <f t="shared" si="0"/>
        <v>Low</v>
      </c>
    </row>
    <row r="32" spans="1:7" x14ac:dyDescent="0.3">
      <c r="A32">
        <v>31</v>
      </c>
      <c r="B32">
        <v>10</v>
      </c>
      <c r="C32">
        <v>34</v>
      </c>
      <c r="D32" t="s">
        <v>6</v>
      </c>
      <c r="E32" s="2">
        <v>80000</v>
      </c>
      <c r="G32" t="str">
        <f t="shared" si="0"/>
        <v>Low</v>
      </c>
    </row>
    <row r="33" spans="1:7" x14ac:dyDescent="0.3">
      <c r="A33">
        <v>32</v>
      </c>
      <c r="B33">
        <v>15</v>
      </c>
      <c r="C33">
        <v>54</v>
      </c>
      <c r="D33" t="s">
        <v>6</v>
      </c>
      <c r="E33" s="2">
        <v>900000</v>
      </c>
      <c r="G33" t="str">
        <f t="shared" si="0"/>
        <v>Medium</v>
      </c>
    </row>
    <row r="34" spans="1:7" x14ac:dyDescent="0.3">
      <c r="A34">
        <v>33</v>
      </c>
      <c r="B34">
        <v>20</v>
      </c>
      <c r="C34">
        <v>55</v>
      </c>
      <c r="D34" t="s">
        <v>5</v>
      </c>
      <c r="E34" s="2">
        <v>1540000</v>
      </c>
      <c r="G34" t="str">
        <f t="shared" si="0"/>
        <v>High</v>
      </c>
    </row>
    <row r="35" spans="1:7" x14ac:dyDescent="0.3">
      <c r="A35">
        <v>34</v>
      </c>
      <c r="B35">
        <v>19</v>
      </c>
      <c r="C35">
        <v>53</v>
      </c>
      <c r="D35" t="s">
        <v>5</v>
      </c>
      <c r="E35" s="2">
        <v>9300000</v>
      </c>
      <c r="G35" t="str">
        <f t="shared" si="0"/>
        <v>High</v>
      </c>
    </row>
    <row r="36" spans="1:7" x14ac:dyDescent="0.3">
      <c r="A36">
        <v>35</v>
      </c>
      <c r="B36">
        <v>16</v>
      </c>
      <c r="C36">
        <v>49</v>
      </c>
      <c r="D36" t="s">
        <v>6</v>
      </c>
      <c r="E36" s="2">
        <v>7600000</v>
      </c>
      <c r="G36" t="str">
        <f t="shared" si="0"/>
        <v>High</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6C84B-CC89-4C3E-8640-68E95847610C}">
  <dimension ref="A1:E36"/>
  <sheetViews>
    <sheetView zoomScale="70" workbookViewId="0">
      <selection activeCell="AC9" sqref="AC9"/>
    </sheetView>
  </sheetViews>
  <sheetFormatPr defaultRowHeight="14.4" x14ac:dyDescent="0.3"/>
  <cols>
    <col min="5" max="5" width="15.33203125" bestFit="1" customWidth="1"/>
  </cols>
  <sheetData>
    <row r="1" spans="1:5" x14ac:dyDescent="0.3">
      <c r="A1" t="s">
        <v>0</v>
      </c>
      <c r="B1" t="s">
        <v>1</v>
      </c>
      <c r="C1" t="s">
        <v>2</v>
      </c>
      <c r="D1" t="s">
        <v>3</v>
      </c>
      <c r="E1" t="s">
        <v>4</v>
      </c>
    </row>
    <row r="2" spans="1:5" x14ac:dyDescent="0.3">
      <c r="A2">
        <v>1</v>
      </c>
      <c r="B2">
        <v>5</v>
      </c>
      <c r="C2">
        <v>28</v>
      </c>
      <c r="D2" t="s">
        <v>5</v>
      </c>
      <c r="E2" s="2">
        <v>250000</v>
      </c>
    </row>
    <row r="3" spans="1:5" x14ac:dyDescent="0.3">
      <c r="A3">
        <v>2</v>
      </c>
      <c r="B3">
        <v>1</v>
      </c>
      <c r="C3">
        <v>21</v>
      </c>
      <c r="D3" t="s">
        <v>6</v>
      </c>
      <c r="E3" s="2">
        <v>50000</v>
      </c>
    </row>
    <row r="4" spans="1:5" x14ac:dyDescent="0.3">
      <c r="A4">
        <v>3</v>
      </c>
      <c r="B4">
        <v>3</v>
      </c>
      <c r="C4">
        <v>23</v>
      </c>
      <c r="D4" t="s">
        <v>5</v>
      </c>
      <c r="E4" s="2">
        <v>170000</v>
      </c>
    </row>
    <row r="5" spans="1:5" x14ac:dyDescent="0.3">
      <c r="A5">
        <v>4</v>
      </c>
      <c r="B5">
        <v>2</v>
      </c>
      <c r="C5">
        <v>22</v>
      </c>
      <c r="D5" t="s">
        <v>6</v>
      </c>
      <c r="E5" s="2">
        <v>25000</v>
      </c>
    </row>
    <row r="6" spans="1:5" x14ac:dyDescent="0.3">
      <c r="A6">
        <v>5</v>
      </c>
      <c r="B6">
        <v>1</v>
      </c>
      <c r="C6">
        <v>17</v>
      </c>
      <c r="D6" t="s">
        <v>6</v>
      </c>
      <c r="E6" s="2">
        <v>10000</v>
      </c>
    </row>
    <row r="7" spans="1:5" x14ac:dyDescent="0.3">
      <c r="A7">
        <v>6</v>
      </c>
      <c r="B7">
        <v>25</v>
      </c>
      <c r="C7">
        <v>62</v>
      </c>
      <c r="D7" t="s">
        <v>6</v>
      </c>
      <c r="E7" s="2">
        <v>5001000</v>
      </c>
    </row>
    <row r="8" spans="1:5" x14ac:dyDescent="0.3">
      <c r="A8">
        <v>7</v>
      </c>
      <c r="B8">
        <v>19</v>
      </c>
      <c r="C8">
        <v>54</v>
      </c>
      <c r="D8" t="s">
        <v>5</v>
      </c>
      <c r="E8" s="2">
        <v>800000</v>
      </c>
    </row>
    <row r="9" spans="1:5" x14ac:dyDescent="0.3">
      <c r="A9">
        <v>8</v>
      </c>
      <c r="B9">
        <v>2</v>
      </c>
      <c r="C9">
        <v>21</v>
      </c>
      <c r="D9" t="s">
        <v>5</v>
      </c>
      <c r="E9" s="2">
        <v>9000</v>
      </c>
    </row>
    <row r="10" spans="1:5" x14ac:dyDescent="0.3">
      <c r="A10">
        <v>9</v>
      </c>
      <c r="B10">
        <v>10</v>
      </c>
      <c r="C10">
        <v>36</v>
      </c>
      <c r="D10" t="s">
        <v>5</v>
      </c>
      <c r="E10" s="2">
        <v>61500</v>
      </c>
    </row>
    <row r="11" spans="1:5" x14ac:dyDescent="0.3">
      <c r="A11">
        <v>10</v>
      </c>
      <c r="B11">
        <v>15</v>
      </c>
      <c r="C11">
        <v>54</v>
      </c>
      <c r="D11" t="s">
        <v>5</v>
      </c>
      <c r="E11" s="2">
        <v>650000</v>
      </c>
    </row>
    <row r="12" spans="1:5" x14ac:dyDescent="0.3">
      <c r="A12">
        <v>11</v>
      </c>
      <c r="B12">
        <v>4</v>
      </c>
      <c r="C12">
        <v>26</v>
      </c>
      <c r="D12" t="s">
        <v>5</v>
      </c>
      <c r="E12" s="2">
        <v>250000</v>
      </c>
    </row>
    <row r="13" spans="1:5" x14ac:dyDescent="0.3">
      <c r="A13">
        <v>12</v>
      </c>
      <c r="B13">
        <v>6</v>
      </c>
      <c r="C13">
        <v>29</v>
      </c>
      <c r="D13" t="s">
        <v>6</v>
      </c>
      <c r="E13" s="2">
        <v>1400000</v>
      </c>
    </row>
    <row r="14" spans="1:5" x14ac:dyDescent="0.3">
      <c r="A14">
        <v>13</v>
      </c>
      <c r="B14">
        <v>14</v>
      </c>
      <c r="C14">
        <v>39</v>
      </c>
      <c r="D14" t="s">
        <v>6</v>
      </c>
      <c r="E14" s="2">
        <v>6000050</v>
      </c>
    </row>
    <row r="15" spans="1:5" x14ac:dyDescent="0.3">
      <c r="A15">
        <v>14</v>
      </c>
      <c r="B15">
        <v>11</v>
      </c>
      <c r="C15">
        <v>40</v>
      </c>
      <c r="D15" t="s">
        <v>6</v>
      </c>
      <c r="E15" s="2">
        <v>220100</v>
      </c>
    </row>
    <row r="16" spans="1:5" x14ac:dyDescent="0.3">
      <c r="A16">
        <v>15</v>
      </c>
      <c r="B16">
        <v>2</v>
      </c>
      <c r="C16">
        <v>23</v>
      </c>
      <c r="D16" t="s">
        <v>6</v>
      </c>
      <c r="E16" s="2">
        <v>7500</v>
      </c>
    </row>
    <row r="17" spans="1:5" x14ac:dyDescent="0.3">
      <c r="A17">
        <v>16</v>
      </c>
      <c r="B17">
        <v>4</v>
      </c>
      <c r="C17">
        <v>27</v>
      </c>
      <c r="D17" t="s">
        <v>5</v>
      </c>
      <c r="E17" s="2">
        <v>87000</v>
      </c>
    </row>
    <row r="18" spans="1:5" x14ac:dyDescent="0.3">
      <c r="A18">
        <v>17</v>
      </c>
      <c r="B18">
        <v>10</v>
      </c>
      <c r="C18">
        <v>34</v>
      </c>
      <c r="D18" t="s">
        <v>5</v>
      </c>
      <c r="E18" s="2">
        <v>930000</v>
      </c>
    </row>
    <row r="19" spans="1:5" x14ac:dyDescent="0.3">
      <c r="A19">
        <v>18</v>
      </c>
      <c r="B19">
        <v>15</v>
      </c>
      <c r="C19">
        <v>54</v>
      </c>
      <c r="D19" t="s">
        <v>5</v>
      </c>
      <c r="E19" s="2">
        <v>7900000</v>
      </c>
    </row>
    <row r="20" spans="1:5" x14ac:dyDescent="0.3">
      <c r="A20">
        <v>19</v>
      </c>
      <c r="B20">
        <v>2</v>
      </c>
      <c r="C20">
        <v>21</v>
      </c>
      <c r="D20" t="s">
        <v>6</v>
      </c>
      <c r="E20" s="2">
        <v>15000</v>
      </c>
    </row>
    <row r="21" spans="1:5" x14ac:dyDescent="0.3">
      <c r="A21">
        <v>20</v>
      </c>
      <c r="B21">
        <v>10</v>
      </c>
      <c r="C21">
        <v>36</v>
      </c>
      <c r="D21" t="s">
        <v>6</v>
      </c>
      <c r="E21" s="2">
        <v>330000</v>
      </c>
    </row>
    <row r="22" spans="1:5" x14ac:dyDescent="0.3">
      <c r="A22">
        <v>21</v>
      </c>
      <c r="B22">
        <v>15</v>
      </c>
      <c r="C22">
        <v>54</v>
      </c>
      <c r="D22" t="s">
        <v>6</v>
      </c>
      <c r="E22" s="2">
        <v>6570000</v>
      </c>
    </row>
    <row r="23" spans="1:5" x14ac:dyDescent="0.3">
      <c r="A23">
        <v>22</v>
      </c>
      <c r="B23">
        <v>4</v>
      </c>
      <c r="C23">
        <v>26</v>
      </c>
      <c r="D23" t="s">
        <v>6</v>
      </c>
      <c r="E23" s="2">
        <v>25000</v>
      </c>
    </row>
    <row r="24" spans="1:5" x14ac:dyDescent="0.3">
      <c r="A24">
        <v>23</v>
      </c>
      <c r="B24">
        <v>5</v>
      </c>
      <c r="C24">
        <v>29</v>
      </c>
      <c r="D24" t="s">
        <v>6</v>
      </c>
      <c r="E24" s="2">
        <v>6845000</v>
      </c>
    </row>
    <row r="25" spans="1:5" x14ac:dyDescent="0.3">
      <c r="A25">
        <v>24</v>
      </c>
      <c r="B25">
        <v>1</v>
      </c>
      <c r="C25">
        <v>21</v>
      </c>
      <c r="D25" t="s">
        <v>5</v>
      </c>
      <c r="E25" s="2">
        <v>6000</v>
      </c>
    </row>
    <row r="26" spans="1:5" x14ac:dyDescent="0.3">
      <c r="A26">
        <v>25</v>
      </c>
      <c r="B26">
        <v>4</v>
      </c>
      <c r="C26">
        <v>23</v>
      </c>
      <c r="D26" t="s">
        <v>5</v>
      </c>
      <c r="E26" s="2">
        <v>8900</v>
      </c>
    </row>
    <row r="27" spans="1:5" x14ac:dyDescent="0.3">
      <c r="A27">
        <v>26</v>
      </c>
      <c r="B27">
        <v>3</v>
      </c>
      <c r="C27">
        <v>22</v>
      </c>
      <c r="D27" t="s">
        <v>5</v>
      </c>
      <c r="E27" s="2">
        <v>20000</v>
      </c>
    </row>
    <row r="28" spans="1:5" x14ac:dyDescent="0.3">
      <c r="A28">
        <v>27</v>
      </c>
      <c r="B28">
        <v>1</v>
      </c>
      <c r="C28">
        <v>18</v>
      </c>
      <c r="D28" t="s">
        <v>6</v>
      </c>
      <c r="E28" s="2">
        <v>3000</v>
      </c>
    </row>
    <row r="29" spans="1:5" x14ac:dyDescent="0.3">
      <c r="A29">
        <v>28</v>
      </c>
      <c r="B29">
        <v>27</v>
      </c>
      <c r="C29">
        <v>62</v>
      </c>
      <c r="D29" t="s">
        <v>5</v>
      </c>
      <c r="E29" s="2">
        <v>10000000</v>
      </c>
    </row>
    <row r="30" spans="1:5" x14ac:dyDescent="0.3">
      <c r="A30">
        <v>29</v>
      </c>
      <c r="B30">
        <v>19</v>
      </c>
      <c r="C30">
        <v>54</v>
      </c>
      <c r="D30" t="s">
        <v>5</v>
      </c>
      <c r="E30" s="2">
        <v>5000000</v>
      </c>
    </row>
    <row r="31" spans="1:5" x14ac:dyDescent="0.3">
      <c r="A31">
        <v>30</v>
      </c>
      <c r="B31">
        <v>2</v>
      </c>
      <c r="C31">
        <v>21</v>
      </c>
      <c r="D31" t="s">
        <v>5</v>
      </c>
      <c r="E31" s="2">
        <v>6100</v>
      </c>
    </row>
    <row r="32" spans="1:5" x14ac:dyDescent="0.3">
      <c r="A32">
        <v>31</v>
      </c>
      <c r="B32">
        <v>10</v>
      </c>
      <c r="C32">
        <v>34</v>
      </c>
      <c r="D32" t="s">
        <v>6</v>
      </c>
      <c r="E32" s="2">
        <v>80000</v>
      </c>
    </row>
    <row r="33" spans="1:5" x14ac:dyDescent="0.3">
      <c r="A33">
        <v>32</v>
      </c>
      <c r="B33">
        <v>15</v>
      </c>
      <c r="C33">
        <v>54</v>
      </c>
      <c r="D33" t="s">
        <v>6</v>
      </c>
      <c r="E33" s="2">
        <v>900000</v>
      </c>
    </row>
    <row r="34" spans="1:5" x14ac:dyDescent="0.3">
      <c r="A34">
        <v>33</v>
      </c>
      <c r="B34">
        <v>20</v>
      </c>
      <c r="C34">
        <v>55</v>
      </c>
      <c r="D34" t="s">
        <v>5</v>
      </c>
      <c r="E34" s="2">
        <v>1540000</v>
      </c>
    </row>
    <row r="35" spans="1:5" x14ac:dyDescent="0.3">
      <c r="A35">
        <v>34</v>
      </c>
      <c r="B35">
        <v>19</v>
      </c>
      <c r="C35">
        <v>53</v>
      </c>
      <c r="D35" t="s">
        <v>5</v>
      </c>
      <c r="E35" s="2">
        <v>9300000</v>
      </c>
    </row>
    <row r="36" spans="1:5" x14ac:dyDescent="0.3">
      <c r="A36">
        <v>35</v>
      </c>
      <c r="B36">
        <v>16</v>
      </c>
      <c r="C36">
        <v>49</v>
      </c>
      <c r="D36" t="s">
        <v>6</v>
      </c>
      <c r="E36" s="2">
        <v>7600000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2572-1C1C-4291-9BF9-D035730EFEA0}">
  <dimension ref="A3:O52"/>
  <sheetViews>
    <sheetView zoomScale="42" workbookViewId="0">
      <selection activeCell="X51" sqref="X51"/>
    </sheetView>
  </sheetViews>
  <sheetFormatPr defaultRowHeight="14.4" x14ac:dyDescent="0.3"/>
  <cols>
    <col min="1" max="1" width="21.21875" bestFit="1" customWidth="1"/>
    <col min="2" max="2" width="37.109375" bestFit="1" customWidth="1"/>
    <col min="3" max="3" width="12.88671875" bestFit="1" customWidth="1"/>
    <col min="4" max="4" width="11.33203125" bestFit="1" customWidth="1"/>
    <col min="5" max="7" width="7.5546875" bestFit="1" customWidth="1"/>
    <col min="8" max="10" width="8.5546875" bestFit="1" customWidth="1"/>
    <col min="11" max="11" width="7.5546875" bestFit="1" customWidth="1"/>
    <col min="12" max="12" width="8.5546875" bestFit="1" customWidth="1"/>
    <col min="13" max="13" width="13.109375" bestFit="1" customWidth="1"/>
    <col min="14" max="14" width="21.21875" bestFit="1" customWidth="1"/>
    <col min="15" max="15" width="32.33203125" bestFit="1" customWidth="1"/>
    <col min="16" max="17" width="10.109375" bestFit="1" customWidth="1"/>
    <col min="18" max="19" width="8.5546875" bestFit="1" customWidth="1"/>
    <col min="20" max="20" width="10.109375" bestFit="1" customWidth="1"/>
    <col min="21" max="22" width="8.5546875" bestFit="1" customWidth="1"/>
    <col min="23" max="26" width="10.109375" bestFit="1" customWidth="1"/>
    <col min="27" max="27" width="11.109375" bestFit="1" customWidth="1"/>
    <col min="28" max="29" width="10.109375" bestFit="1" customWidth="1"/>
    <col min="30" max="31" width="11.109375" bestFit="1" customWidth="1"/>
    <col min="32" max="35" width="10.109375" bestFit="1" customWidth="1"/>
    <col min="36" max="37" width="11.109375" bestFit="1" customWidth="1"/>
    <col min="38" max="38" width="11.33203125" bestFit="1" customWidth="1"/>
  </cols>
  <sheetData>
    <row r="3" spans="1:15" x14ac:dyDescent="0.3">
      <c r="A3" s="3" t="s">
        <v>7</v>
      </c>
      <c r="B3" t="s">
        <v>9</v>
      </c>
    </row>
    <row r="4" spans="1:15" x14ac:dyDescent="0.3">
      <c r="A4" s="4">
        <v>2</v>
      </c>
      <c r="B4" s="1">
        <v>62600</v>
      </c>
    </row>
    <row r="5" spans="1:15" x14ac:dyDescent="0.3">
      <c r="A5" s="4">
        <v>1</v>
      </c>
      <c r="B5" s="1">
        <v>69000</v>
      </c>
    </row>
    <row r="6" spans="1:15" x14ac:dyDescent="0.3">
      <c r="A6" s="4">
        <v>3</v>
      </c>
      <c r="B6" s="1">
        <v>190000</v>
      </c>
    </row>
    <row r="7" spans="1:15" x14ac:dyDescent="0.3">
      <c r="A7" s="4">
        <v>11</v>
      </c>
      <c r="B7" s="1">
        <v>220100</v>
      </c>
    </row>
    <row r="8" spans="1:15" x14ac:dyDescent="0.3">
      <c r="A8" s="4">
        <v>4</v>
      </c>
      <c r="B8" s="1">
        <v>370900</v>
      </c>
    </row>
    <row r="9" spans="1:15" x14ac:dyDescent="0.3">
      <c r="A9" s="4">
        <v>6</v>
      </c>
      <c r="B9" s="1">
        <v>1400000</v>
      </c>
    </row>
    <row r="10" spans="1:15" x14ac:dyDescent="0.3">
      <c r="A10" s="4">
        <v>10</v>
      </c>
      <c r="B10" s="1">
        <v>1401500</v>
      </c>
    </row>
    <row r="11" spans="1:15" x14ac:dyDescent="0.3">
      <c r="A11" s="4">
        <v>20</v>
      </c>
      <c r="B11" s="1">
        <v>1540000</v>
      </c>
    </row>
    <row r="12" spans="1:15" x14ac:dyDescent="0.3">
      <c r="A12" s="4">
        <v>25</v>
      </c>
      <c r="B12" s="1">
        <v>5001000</v>
      </c>
    </row>
    <row r="13" spans="1:15" x14ac:dyDescent="0.3">
      <c r="A13" s="4">
        <v>14</v>
      </c>
      <c r="B13" s="1">
        <v>6000050</v>
      </c>
    </row>
    <row r="14" spans="1:15" x14ac:dyDescent="0.3">
      <c r="A14" s="4">
        <v>5</v>
      </c>
      <c r="B14" s="1">
        <v>7095000</v>
      </c>
    </row>
    <row r="15" spans="1:15" x14ac:dyDescent="0.3">
      <c r="A15" s="4">
        <v>16</v>
      </c>
      <c r="B15" s="1">
        <v>7600000</v>
      </c>
      <c r="N15" s="3" t="s">
        <v>7</v>
      </c>
      <c r="O15" t="s">
        <v>27</v>
      </c>
    </row>
    <row r="16" spans="1:15" x14ac:dyDescent="0.3">
      <c r="A16" s="4">
        <v>27</v>
      </c>
      <c r="B16" s="1">
        <v>10000000</v>
      </c>
      <c r="N16" s="4" t="s">
        <v>5</v>
      </c>
      <c r="O16" s="1">
        <v>36988500</v>
      </c>
    </row>
    <row r="17" spans="1:15" x14ac:dyDescent="0.3">
      <c r="A17" s="4">
        <v>19</v>
      </c>
      <c r="B17" s="1">
        <v>15100000</v>
      </c>
      <c r="N17" s="4" t="s">
        <v>6</v>
      </c>
      <c r="O17" s="1">
        <v>35081650</v>
      </c>
    </row>
    <row r="18" spans="1:15" x14ac:dyDescent="0.3">
      <c r="A18" s="4">
        <v>15</v>
      </c>
      <c r="B18" s="1">
        <v>16020000</v>
      </c>
      <c r="N18" s="4" t="s">
        <v>8</v>
      </c>
      <c r="O18" s="1">
        <v>72070150</v>
      </c>
    </row>
    <row r="19" spans="1:15" x14ac:dyDescent="0.3">
      <c r="A19" s="4" t="s">
        <v>8</v>
      </c>
      <c r="B19" s="1">
        <v>72070150</v>
      </c>
    </row>
    <row r="33" spans="1:2" x14ac:dyDescent="0.3">
      <c r="A33" s="3" t="s">
        <v>7</v>
      </c>
      <c r="B33" t="s">
        <v>10</v>
      </c>
    </row>
    <row r="34" spans="1:2" x14ac:dyDescent="0.3">
      <c r="A34" s="4">
        <v>18</v>
      </c>
      <c r="B34" s="1">
        <v>3000</v>
      </c>
    </row>
    <row r="35" spans="1:2" x14ac:dyDescent="0.3">
      <c r="A35" s="4">
        <v>17</v>
      </c>
      <c r="B35" s="1">
        <v>10000</v>
      </c>
    </row>
    <row r="36" spans="1:2" x14ac:dyDescent="0.3">
      <c r="A36" s="4">
        <v>22</v>
      </c>
      <c r="B36" s="1">
        <v>45000</v>
      </c>
    </row>
    <row r="37" spans="1:2" x14ac:dyDescent="0.3">
      <c r="A37" s="4">
        <v>21</v>
      </c>
      <c r="B37" s="1">
        <v>86100</v>
      </c>
    </row>
    <row r="38" spans="1:2" x14ac:dyDescent="0.3">
      <c r="A38" s="4">
        <v>27</v>
      </c>
      <c r="B38" s="1">
        <v>87000</v>
      </c>
    </row>
    <row r="39" spans="1:2" x14ac:dyDescent="0.3">
      <c r="A39" s="4">
        <v>23</v>
      </c>
      <c r="B39" s="1">
        <v>186400</v>
      </c>
    </row>
    <row r="40" spans="1:2" x14ac:dyDescent="0.3">
      <c r="A40" s="4">
        <v>40</v>
      </c>
      <c r="B40" s="1">
        <v>220100</v>
      </c>
    </row>
    <row r="41" spans="1:2" x14ac:dyDescent="0.3">
      <c r="A41" s="4">
        <v>28</v>
      </c>
      <c r="B41" s="1">
        <v>250000</v>
      </c>
    </row>
    <row r="42" spans="1:2" x14ac:dyDescent="0.3">
      <c r="A42" s="4">
        <v>26</v>
      </c>
      <c r="B42" s="1">
        <v>275000</v>
      </c>
    </row>
    <row r="43" spans="1:2" x14ac:dyDescent="0.3">
      <c r="A43" s="4">
        <v>36</v>
      </c>
      <c r="B43" s="1">
        <v>391500</v>
      </c>
    </row>
    <row r="44" spans="1:2" x14ac:dyDescent="0.3">
      <c r="A44" s="4">
        <v>34</v>
      </c>
      <c r="B44" s="1">
        <v>1010000</v>
      </c>
    </row>
    <row r="45" spans="1:2" x14ac:dyDescent="0.3">
      <c r="A45" s="4">
        <v>55</v>
      </c>
      <c r="B45" s="1">
        <v>1540000</v>
      </c>
    </row>
    <row r="46" spans="1:2" x14ac:dyDescent="0.3">
      <c r="A46" s="4">
        <v>39</v>
      </c>
      <c r="B46" s="1">
        <v>6000050</v>
      </c>
    </row>
    <row r="47" spans="1:2" x14ac:dyDescent="0.3">
      <c r="A47" s="4">
        <v>49</v>
      </c>
      <c r="B47" s="1">
        <v>7600000</v>
      </c>
    </row>
    <row r="48" spans="1:2" x14ac:dyDescent="0.3">
      <c r="A48" s="4">
        <v>29</v>
      </c>
      <c r="B48" s="1">
        <v>8245000</v>
      </c>
    </row>
    <row r="49" spans="1:2" x14ac:dyDescent="0.3">
      <c r="A49" s="4">
        <v>53</v>
      </c>
      <c r="B49" s="1">
        <v>9300000</v>
      </c>
    </row>
    <row r="50" spans="1:2" x14ac:dyDescent="0.3">
      <c r="A50" s="4">
        <v>62</v>
      </c>
      <c r="B50" s="1">
        <v>15001000</v>
      </c>
    </row>
    <row r="51" spans="1:2" x14ac:dyDescent="0.3">
      <c r="A51" s="4">
        <v>54</v>
      </c>
      <c r="B51" s="1">
        <v>21820000</v>
      </c>
    </row>
    <row r="52" spans="1:2" x14ac:dyDescent="0.3">
      <c r="A52" s="4" t="s">
        <v>8</v>
      </c>
      <c r="B52" s="1">
        <v>72070150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020D-40E9-498E-9CD2-B0A9648913C3}">
  <dimension ref="A1"/>
  <sheetViews>
    <sheetView showGridLines="0" zoomScale="87" workbookViewId="0">
      <selection activeCell="X25" sqref="X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Formulas and analysis</vt:lpstr>
      <vt:lpstr>visuals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SARVESH GHADGE</cp:lastModifiedBy>
  <cp:lastPrinted>2025-12-06T00:02:41Z</cp:lastPrinted>
  <dcterms:created xsi:type="dcterms:W3CDTF">2025-12-06T00:07:06Z</dcterms:created>
  <dcterms:modified xsi:type="dcterms:W3CDTF">2025-12-06T20:06:51Z</dcterms:modified>
</cp:coreProperties>
</file>